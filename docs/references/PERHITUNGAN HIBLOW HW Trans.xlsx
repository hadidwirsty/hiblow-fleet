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 Tarif" sheetId="1" r:id="rId4"/>
    <sheet state="visible" name="SBI Tarif" sheetId="2" r:id="rId5"/>
    <sheet state="visible" name="Indocement Grobogan Tarif" sheetId="3" r:id="rId6"/>
    <sheet state="visible" name="Masuk W8187UA" sheetId="4" r:id="rId7"/>
    <sheet state="visible" name="Keluar W8187UA" sheetId="5" r:id="rId8"/>
    <sheet state="visible" name="Masuk H8133OF" sheetId="6" r:id="rId9"/>
    <sheet state="visible" name="Keluar H8133OF" sheetId="7" r:id="rId10"/>
    <sheet state="visible" name="Bagi Hasil" sheetId="8" r:id="rId11"/>
  </sheets>
  <definedNames>
    <definedName hidden="1" localSheetId="0" name="_xlnm._FilterDatabase">'SI Tarif'!$A$1:$J$81</definedName>
  </definedNames>
  <calcPr/>
  <extLst>
    <ext uri="GoogleSheetsCustomDataVersion2">
      <go:sheetsCustomData xmlns:go="http://customooxmlschemas.google.com/" r:id="rId12" roundtripDataChecksum="FvMJDNRZMsrqVu6Hkxf6JfFh8Q8m/AAasFi+G0N9QQM="/>
    </ext>
  </extLst>
</workbook>
</file>

<file path=xl/sharedStrings.xml><?xml version="1.0" encoding="utf-8"?>
<sst xmlns="http://schemas.openxmlformats.org/spreadsheetml/2006/main" count="6185" uniqueCount="2279">
  <si>
    <t>NO</t>
  </si>
  <si>
    <t>KOTA</t>
  </si>
  <si>
    <t>TUJUAN BONGKAR</t>
  </si>
  <si>
    <t>TARIF</t>
  </si>
  <si>
    <t>TONASE</t>
  </si>
  <si>
    <t>JUMLAH</t>
  </si>
  <si>
    <t>SANGU SUPIR</t>
  </si>
  <si>
    <t>PROFIT</t>
  </si>
  <si>
    <t>TAMBAHAN TONASE</t>
  </si>
  <si>
    <t>REMBANG</t>
  </si>
  <si>
    <t>SAFINA PL RBG / PRY JLN RIGID</t>
  </si>
  <si>
    <t>NO.</t>
  </si>
  <si>
    <t>CEPU</t>
  </si>
  <si>
    <t>MOVEMENT</t>
  </si>
  <si>
    <t>RDM BBM BETON</t>
  </si>
  <si>
    <t>MATERIAL GROUP</t>
  </si>
  <si>
    <t>SALES DISTRICT</t>
  </si>
  <si>
    <t>TANGGAL ORDER</t>
  </si>
  <si>
    <t>City Code</t>
  </si>
  <si>
    <t>TANGGAL BONGKAR</t>
  </si>
  <si>
    <t>City Desc</t>
  </si>
  <si>
    <t>Jarak
(Km)</t>
  </si>
  <si>
    <t>PATI</t>
  </si>
  <si>
    <t xml:space="preserve">OA </t>
  </si>
  <si>
    <t>PT. FAJAR BETON MITRA LESTARI</t>
  </si>
  <si>
    <t>ZONE KODE</t>
  </si>
  <si>
    <t>TONASE MUAT</t>
  </si>
  <si>
    <t>KOTA / KABUPATEN</t>
  </si>
  <si>
    <t>DESTINATION KODE</t>
  </si>
  <si>
    <t>SAFINA PL PATI / PRY JLN RIGID</t>
  </si>
  <si>
    <t>TUJUAN</t>
  </si>
  <si>
    <t>TARIF OA</t>
  </si>
  <si>
    <t xml:space="preserve">TONASE BONGKAR </t>
  </si>
  <si>
    <t>JEPARA</t>
  </si>
  <si>
    <t>SAFINA PL JPR / PRY PABRIK ACE</t>
  </si>
  <si>
    <t>OMSET</t>
  </si>
  <si>
    <t>PAJAK 1%</t>
  </si>
  <si>
    <t>POT 2% LJU</t>
  </si>
  <si>
    <t>5% UJ GRB</t>
  </si>
  <si>
    <t>SANGU (31 TON)</t>
  </si>
  <si>
    <t>TOLERANSI 0.3%</t>
  </si>
  <si>
    <t>PURWODADI</t>
  </si>
  <si>
    <t>RDM BETON BUDI MULYA, PT</t>
  </si>
  <si>
    <t>SELISIH MUAT</t>
  </si>
  <si>
    <t>KLAIM</t>
  </si>
  <si>
    <t>KLAIM DRIVER</t>
  </si>
  <si>
    <t>PEMBAYARAN</t>
  </si>
  <si>
    <t>DEMAK</t>
  </si>
  <si>
    <t>MITRA GLORIA SEJAHTERA, CV</t>
  </si>
  <si>
    <t>INSENTIF</t>
  </si>
  <si>
    <t>DIBAYARKAN</t>
  </si>
  <si>
    <r>
      <rPr>
        <rFont val="Times New Roman"/>
        <b/>
        <color theme="1"/>
        <sz val="8.0"/>
      </rPr>
      <t xml:space="preserve">Semen Bulk : GROBOGAN - </t>
    </r>
    <r>
      <rPr>
        <rFont val="Times New Roman"/>
        <b/>
        <color rgb="FF00B050"/>
        <sz val="8.0"/>
        <u/>
      </rPr>
      <t>RUTE JAWA TIMUR</t>
    </r>
  </si>
  <si>
    <t>SATRIA PERWIRA</t>
  </si>
  <si>
    <t>BANTUAN UANG MAKAN</t>
  </si>
  <si>
    <t>SEMARANG</t>
  </si>
  <si>
    <t>RDM PT ANANDA PRATAMA / PRY JRAGUNG</t>
  </si>
  <si>
    <t>TABUNGAN</t>
  </si>
  <si>
    <t xml:space="preserve">SANGU </t>
  </si>
  <si>
    <t>TAMBAHAN</t>
  </si>
  <si>
    <t>MAS MAWAN (CV. SATRIA PERWIRA)/DO</t>
  </si>
  <si>
    <t>0403</t>
  </si>
  <si>
    <t xml:space="preserve"> MALANG</t>
  </si>
  <si>
    <t>MBAH MAN (SILOG)/DO</t>
  </si>
  <si>
    <t>040304</t>
  </si>
  <si>
    <t>RDM BETON BUDI MULYA</t>
  </si>
  <si>
    <t>Wagir</t>
  </si>
  <si>
    <t>CATATAN</t>
  </si>
  <si>
    <t>DOMESTIK</t>
  </si>
  <si>
    <t>TOLERANSI MUATAN 0.3%</t>
  </si>
  <si>
    <t>CURAH</t>
  </si>
  <si>
    <t>BANJARNEGARA</t>
  </si>
  <si>
    <t>PBR BALTON KURNIA ABADI, PT</t>
  </si>
  <si>
    <t xml:space="preserve">KLAIM </t>
  </si>
  <si>
    <t>BC35</t>
  </si>
  <si>
    <t>PATIKRAJA</t>
  </si>
  <si>
    <t>040311</t>
  </si>
  <si>
    <t>Pakis</t>
  </si>
  <si>
    <t>ARIES PUTRA BETON (SEMARANG)</t>
  </si>
  <si>
    <t>040313</t>
  </si>
  <si>
    <t>Singosari</t>
  </si>
  <si>
    <t>INAX INTERNATIONAL CORPORATION PT.</t>
  </si>
  <si>
    <t>040325</t>
  </si>
  <si>
    <t>Bululawang</t>
  </si>
  <si>
    <t>0410</t>
  </si>
  <si>
    <t xml:space="preserve"> MOJOKERTO</t>
  </si>
  <si>
    <t>041018</t>
  </si>
  <si>
    <t>Gondang</t>
  </si>
  <si>
    <t>2 April 26 naik dr 19 ke 2jt khusus aries dkk</t>
  </si>
  <si>
    <t>BD18</t>
  </si>
  <si>
    <t>UNGARAN</t>
  </si>
  <si>
    <t>PT. MAHIDARA ARTHA SANGKARA</t>
  </si>
  <si>
    <t>-</t>
  </si>
  <si>
    <t>041007</t>
  </si>
  <si>
    <t>Mojosari</t>
  </si>
  <si>
    <t>APB BP BAWEN / TOL JBW SEC6</t>
  </si>
  <si>
    <t>BANTUL</t>
  </si>
  <si>
    <t>CA32</t>
  </si>
  <si>
    <t>041006</t>
  </si>
  <si>
    <t>Bangsai</t>
  </si>
  <si>
    <t>SALATIGA</t>
  </si>
  <si>
    <t>PBR TRI PILAR BETON MAS *160.000*</t>
  </si>
  <si>
    <t>041005</t>
  </si>
  <si>
    <t>Trowulan</t>
  </si>
  <si>
    <t>CA14</t>
  </si>
  <si>
    <t>PIYUNGAN</t>
  </si>
  <si>
    <t>BATANG</t>
  </si>
  <si>
    <t>DIRGANTARA BETONINDO / PRY KITB</t>
  </si>
  <si>
    <t>041019</t>
  </si>
  <si>
    <t>Jaitrejo</t>
  </si>
  <si>
    <t>Sudah dibayar 10 Juni 25</t>
  </si>
  <si>
    <t>0478</t>
  </si>
  <si>
    <t>CA18</t>
  </si>
  <si>
    <t xml:space="preserve"> PROBOLINGGO KOTA</t>
  </si>
  <si>
    <t>PRY BATCHING PLANT KIT BATANG</t>
  </si>
  <si>
    <t>SEDAYU - YOGASARI</t>
  </si>
  <si>
    <t>047802</t>
  </si>
  <si>
    <t>Mayangan</t>
  </si>
  <si>
    <t>0405</t>
  </si>
  <si>
    <t xml:space="preserve"> PROBOLINGGO</t>
  </si>
  <si>
    <t>040608</t>
  </si>
  <si>
    <t>Paiton</t>
  </si>
  <si>
    <t>PRY AKSES JETTY KIT BATANG</t>
  </si>
  <si>
    <r>
      <t xml:space="preserve">Sudah dibayar </t>
    </r>
    <r>
      <rPr>
        <rFont val="Calibri"/>
        <b/>
        <color theme="1"/>
        <sz val="9.0"/>
      </rPr>
      <t>25 JunI 25 5rit</t>
    </r>
  </si>
  <si>
    <t>BANYUMAS</t>
  </si>
  <si>
    <t>BC44</t>
  </si>
  <si>
    <t>10 Jun 25 Mas Yono Insentif 35.000 (1 rit)</t>
  </si>
  <si>
    <t>0480</t>
  </si>
  <si>
    <t xml:space="preserve"> SITUBONDO</t>
  </si>
  <si>
    <t>048014</t>
  </si>
  <si>
    <t>Banyuputih</t>
  </si>
  <si>
    <t>SRAGEN</t>
  </si>
  <si>
    <t>PRY TOL SEMARANG (SAYUNG)</t>
  </si>
  <si>
    <t>CV. JASEM MAKMUR ABADI PL GALEH</t>
  </si>
  <si>
    <t>BC32</t>
  </si>
  <si>
    <t>0401</t>
  </si>
  <si>
    <t xml:space="preserve"> SURABAYA</t>
  </si>
  <si>
    <t>KARANGLEWAS</t>
  </si>
  <si>
    <t>040131</t>
  </si>
  <si>
    <t>Karangpilang</t>
  </si>
  <si>
    <t xml:space="preserve"> SIURABAYA</t>
  </si>
  <si>
    <t>040114</t>
  </si>
  <si>
    <t>Benowo</t>
  </si>
  <si>
    <t>KARANGANYAR</t>
  </si>
  <si>
    <t>UD. BERKAH BATU</t>
  </si>
  <si>
    <t>BC34</t>
  </si>
  <si>
    <t>CILONGOK</t>
  </si>
  <si>
    <t>040112</t>
  </si>
  <si>
    <t>Sambikerep</t>
  </si>
  <si>
    <t>0419</t>
  </si>
  <si>
    <t xml:space="preserve"> GRESIK</t>
  </si>
  <si>
    <t>041901</t>
  </si>
  <si>
    <t>NINDYA KARYA / PRY PARALYMPIC KARAN</t>
  </si>
  <si>
    <t>BC38</t>
  </si>
  <si>
    <t>PURBALINGGA</t>
  </si>
  <si>
    <t>Sudah dibayar 17 Agu 25</t>
  </si>
  <si>
    <t>Gresik</t>
  </si>
  <si>
    <t>SUKOHARJO</t>
  </si>
  <si>
    <t>TRIYAGAN HERMET PERKASA</t>
  </si>
  <si>
    <r>
      <t xml:space="preserve">Sudah dibayar </t>
    </r>
    <r>
      <rPr>
        <rFont val="Calibri"/>
        <b/>
        <color theme="1"/>
        <sz val="9.0"/>
      </rPr>
      <t>25 JunI 25 5rit</t>
    </r>
  </si>
  <si>
    <t>Manyar</t>
  </si>
  <si>
    <t>0420</t>
  </si>
  <si>
    <t xml:space="preserve"> PONOROGO</t>
  </si>
  <si>
    <t>BOYOLALI</t>
  </si>
  <si>
    <t>042010</t>
  </si>
  <si>
    <t>Jetis</t>
  </si>
  <si>
    <t>PBR CV MASTER BETON</t>
  </si>
  <si>
    <t>GRESIK</t>
  </si>
  <si>
    <t>PBR KUMALA KIRAN (WRINGIN ANOM)</t>
  </si>
  <si>
    <t>0461</t>
  </si>
  <si>
    <t>RDM KH BETON</t>
  </si>
  <si>
    <t xml:space="preserve"> SIDOARJO</t>
  </si>
  <si>
    <t>046109</t>
  </si>
  <si>
    <t>Taman/krian</t>
  </si>
  <si>
    <t>BANYUWANGI</t>
  </si>
  <si>
    <t>DJ24</t>
  </si>
  <si>
    <t>KABAT</t>
  </si>
  <si>
    <t>RDM DIRGANTARA / JOGLO PL BOYOLALI</t>
  </si>
  <si>
    <t>0473</t>
  </si>
  <si>
    <t xml:space="preserve"> BLITAR KABUPATEN</t>
  </si>
  <si>
    <t>047307</t>
  </si>
  <si>
    <t>Kademangan</t>
  </si>
  <si>
    <t>AK SBO BP NGARU ARU / TOL SOJO</t>
  </si>
  <si>
    <t>0418</t>
  </si>
  <si>
    <t xml:space="preserve"> LAMONGAN</t>
  </si>
  <si>
    <t>041827</t>
  </si>
  <si>
    <t>Pucuk</t>
  </si>
  <si>
    <t>DJ25</t>
  </si>
  <si>
    <t>SINGOJURUH</t>
  </si>
  <si>
    <t>KLATEN</t>
  </si>
  <si>
    <t>AK BP JAMBU KULON / PRY TOL JOGLO P</t>
  </si>
  <si>
    <t>0404</t>
  </si>
  <si>
    <t xml:space="preserve"> KEDIRI</t>
  </si>
  <si>
    <t>040418</t>
  </si>
  <si>
    <t>Papar</t>
  </si>
  <si>
    <t>BB26</t>
  </si>
  <si>
    <t>TULIS</t>
  </si>
  <si>
    <t>040401</t>
  </si>
  <si>
    <t>APB BP KEBONARUM / TOL SOJO</t>
  </si>
  <si>
    <t>Kandat</t>
  </si>
  <si>
    <t>0409</t>
  </si>
  <si>
    <t xml:space="preserve"> PASURUAN</t>
  </si>
  <si>
    <t>040903</t>
  </si>
  <si>
    <t>Gempol</t>
  </si>
  <si>
    <r>
      <t xml:space="preserve">Sudah dibayar </t>
    </r>
    <r>
      <rPr>
        <rFont val="Calibri"/>
        <b/>
        <color theme="1"/>
        <sz val="9.0"/>
      </rPr>
      <t>25 JunI 25 5rit</t>
    </r>
  </si>
  <si>
    <t>BLITAR</t>
  </si>
  <si>
    <t>DE06</t>
  </si>
  <si>
    <t>WLINGI</t>
  </si>
  <si>
    <t>AK SBO BP JAMBU KULON / TOL SOJO</t>
  </si>
  <si>
    <t>0467</t>
  </si>
  <si>
    <t xml:space="preserve"> JOMBANG</t>
  </si>
  <si>
    <t>046709</t>
  </si>
  <si>
    <t>Kabuh</t>
  </si>
  <si>
    <t>APB AK BP KEBONARUM KLATEN</t>
  </si>
  <si>
    <t>BLORA</t>
  </si>
  <si>
    <t>BJ11</t>
  </si>
  <si>
    <t>NGAWEN</t>
  </si>
  <si>
    <t>SELO PROGO SAKTI PT.</t>
  </si>
  <si>
    <t>WONOGIRI</t>
  </si>
  <si>
    <t>C. KUNCORO</t>
  </si>
  <si>
    <t>YOGYAKARTA</t>
  </si>
  <si>
    <t>BJ12</t>
  </si>
  <si>
    <t>DIAMOND BARU PT.</t>
  </si>
  <si>
    <t>KUNDURAN</t>
  </si>
  <si>
    <t>TONGGAK AMPUH (PABRIK)</t>
  </si>
  <si>
    <r>
      <t xml:space="preserve">Sudah dibayar </t>
    </r>
    <r>
      <rPr>
        <rFont val="Calibri"/>
        <b/>
        <color theme="1"/>
        <sz val="9.0"/>
      </rPr>
      <t>25 JunI 25 5rit</t>
    </r>
  </si>
  <si>
    <t>Saving 5%</t>
  </si>
  <si>
    <t>BOGOR</t>
  </si>
  <si>
    <t>SLEMAN</t>
  </si>
  <si>
    <t>AC01</t>
  </si>
  <si>
    <t>APB PBR MARGOREJO SLEMAN</t>
  </si>
  <si>
    <t>Potongan 2%</t>
  </si>
  <si>
    <t>CIBINONG BOGOR</t>
  </si>
  <si>
    <t>Potongan LJU</t>
  </si>
  <si>
    <t>CONCRETE POHON CEMARA (KALIGAWE)</t>
  </si>
  <si>
    <t>OA Driver</t>
  </si>
  <si>
    <t>AK SBO BP SEYEGAN / TOL JBW</t>
  </si>
  <si>
    <t>Tonase</t>
  </si>
  <si>
    <t>Pendapatan</t>
  </si>
  <si>
    <t>UJ 31 ton</t>
  </si>
  <si>
    <t>Keuntungan</t>
  </si>
  <si>
    <t>Saving</t>
  </si>
  <si>
    <t>Profit</t>
  </si>
  <si>
    <r>
      <rPr>
        <rFont val="Times New Roman"/>
        <b/>
        <color theme="1"/>
        <sz val="8.0"/>
      </rPr>
      <t xml:space="preserve">Semen Bulk : GROBOGAN - </t>
    </r>
    <r>
      <rPr>
        <rFont val="Times New Roman"/>
        <b/>
        <color rgb="FF00B050"/>
        <sz val="8.0"/>
        <u/>
      </rPr>
      <t>RUTE JAWA TIMUR</t>
    </r>
  </si>
  <si>
    <t>APB AK BP MARGOMULYO SEYEGAN</t>
  </si>
  <si>
    <t>2E32</t>
  </si>
  <si>
    <t>GUNUNG PUTRI</t>
  </si>
  <si>
    <r>
      <t xml:space="preserve">Sudah dibayar </t>
    </r>
    <r>
      <rPr>
        <rFont val="Calibri"/>
        <b/>
        <color theme="1"/>
        <sz val="9.0"/>
      </rPr>
      <t>25 JunI 25 5rit</t>
    </r>
  </si>
  <si>
    <t>RDM SURADI / PRY APBD BANTUL</t>
  </si>
  <si>
    <r>
      <t xml:space="preserve">Sudah dibayar </t>
    </r>
    <r>
      <rPr>
        <rFont val="Calibri"/>
        <b/>
        <color theme="1"/>
        <sz val="9.0"/>
      </rPr>
      <t>3 Jul 25</t>
    </r>
  </si>
  <si>
    <r>
      <t xml:space="preserve">30.44, selisih 150 kg. </t>
    </r>
    <r>
      <rPr>
        <rFont val="Calibri"/>
        <b/>
        <color theme="1"/>
        <sz val="9.0"/>
      </rPr>
      <t>25 Jun 25</t>
    </r>
    <r>
      <rPr>
        <rFont val="Calibri"/>
        <color theme="1"/>
        <sz val="9.0"/>
      </rPr>
      <t xml:space="preserve"> </t>
    </r>
    <r>
      <rPr>
        <rFont val="Calibri"/>
        <b val="0"/>
        <color theme="1"/>
        <sz val="9.0"/>
      </rPr>
      <t>Mas Mawan 500.000</t>
    </r>
    <r>
      <rPr>
        <rFont val="Calibri"/>
        <b/>
        <color theme="1"/>
        <sz val="9.0"/>
      </rPr>
      <t xml:space="preserve"> (5rit)</t>
    </r>
  </si>
  <si>
    <t>GUNUNG KIDUL</t>
  </si>
  <si>
    <t>BEJO LUMINTU MINULYO PT.</t>
  </si>
  <si>
    <t>KINI JAYA INDAH (PLAMONGAN)</t>
  </si>
  <si>
    <t>BI33</t>
  </si>
  <si>
    <t>TERAS</t>
  </si>
  <si>
    <t>RDM VUB GRESIK / PRY GRS SBY</t>
  </si>
  <si>
    <t>SIDOARJO</t>
  </si>
  <si>
    <t>RDM VUB LINGKAR SIDOARJO</t>
  </si>
  <si>
    <t>BI29</t>
  </si>
  <si>
    <t>PT. BETON INTI GUNA</t>
  </si>
  <si>
    <r>
      <t xml:space="preserve">Sudah dibayar </t>
    </r>
    <r>
      <rPr>
        <rFont val="Calibri"/>
        <b/>
        <color theme="1"/>
        <sz val="9.0"/>
      </rPr>
      <t>10 Jul 25 3 rit</t>
    </r>
  </si>
  <si>
    <t>BI35</t>
  </si>
  <si>
    <t>NGEMPLAK</t>
  </si>
  <si>
    <r>
      <t xml:space="preserve">Sudah dibayar </t>
    </r>
    <r>
      <rPr>
        <rFont val="Calibri"/>
        <b/>
        <color theme="1"/>
        <sz val="9.0"/>
      </rPr>
      <t>3 Jul 25</t>
    </r>
  </si>
  <si>
    <r>
      <rPr>
        <rFont val="Calibri"/>
        <b/>
        <color theme="1"/>
        <sz val="9.0"/>
      </rPr>
      <t>3 Jul 25</t>
    </r>
    <r>
      <rPr>
        <rFont val="Calibri"/>
        <color theme="1"/>
        <sz val="9.0"/>
      </rPr>
      <t xml:space="preserve"> </t>
    </r>
    <r>
      <rPr>
        <rFont val="Calibri"/>
        <b val="0"/>
        <color theme="1"/>
        <sz val="9.0"/>
      </rPr>
      <t>Mbah Man 100.000</t>
    </r>
    <r>
      <rPr>
        <rFont val="Calibri"/>
        <b/>
        <color theme="1"/>
        <sz val="9.0"/>
      </rPr>
      <t xml:space="preserve"> (2rit)</t>
    </r>
  </si>
  <si>
    <t>SAKURA BETON CV.</t>
  </si>
  <si>
    <t>JOMBANG</t>
  </si>
  <si>
    <t>SINAR ABADI CITRA SARANA (BAKALAN)</t>
  </si>
  <si>
    <t>MOJOKERTO</t>
  </si>
  <si>
    <t>APB PBR MOJOKERTO</t>
  </si>
  <si>
    <t>BREBES</t>
  </si>
  <si>
    <t>BA11</t>
  </si>
  <si>
    <t>CIAMIS</t>
  </si>
  <si>
    <t>AH16</t>
  </si>
  <si>
    <r>
      <t xml:space="preserve">Sudah dibayar </t>
    </r>
    <r>
      <rPr>
        <rFont val="Calibri"/>
        <b/>
        <color theme="1"/>
        <sz val="9.0"/>
      </rPr>
      <t>10 Jul 25 3 rit</t>
    </r>
  </si>
  <si>
    <r>
      <t xml:space="preserve">Sudah dibayar </t>
    </r>
    <r>
      <rPr>
        <rFont val="Calibri"/>
        <b/>
        <color theme="1"/>
        <sz val="9.0"/>
      </rPr>
      <t>13 Jul 25</t>
    </r>
  </si>
  <si>
    <t>PASURUAN</t>
  </si>
  <si>
    <t>PBR VUB PANDAAN</t>
  </si>
  <si>
    <t>CILACAP</t>
  </si>
  <si>
    <t>BC24</t>
  </si>
  <si>
    <t>TRIJAYA ADYMIX (NGORO)</t>
  </si>
  <si>
    <t>CV.DUTA PAVING MANDIRI (PASURUAN)</t>
  </si>
  <si>
    <t>DUTA BANGSA PT.</t>
  </si>
  <si>
    <t>BC15</t>
  </si>
  <si>
    <t>KESUGIHAN</t>
  </si>
  <si>
    <t>MALANG</t>
  </si>
  <si>
    <t>RDM VUB MALANG</t>
  </si>
  <si>
    <r>
      <t xml:space="preserve">Sudah dibayar </t>
    </r>
    <r>
      <rPr>
        <rFont val="Calibri"/>
        <b/>
        <color theme="1"/>
        <sz val="9.0"/>
      </rPr>
      <t>10 Jul 25 3 rit</t>
    </r>
  </si>
  <si>
    <r>
      <t xml:space="preserve">Sudah dibayar </t>
    </r>
    <r>
      <rPr>
        <rFont val="Calibri"/>
        <b/>
        <color theme="1"/>
        <sz val="9.0"/>
      </rPr>
      <t>13 Jul 25</t>
    </r>
  </si>
  <si>
    <t>SEMARANG BF09</t>
  </si>
  <si>
    <t>DUTA BANGSA MANDIRI PV MALANG</t>
  </si>
  <si>
    <t>PRATAMA WIDYA (TERBOYO)</t>
  </si>
  <si>
    <t>BC60</t>
  </si>
  <si>
    <t>BUNTU</t>
  </si>
  <si>
    <t>LAMONGAN</t>
  </si>
  <si>
    <t>TIRTOBUMI ADYATUNGGAL PT.</t>
  </si>
  <si>
    <t>EDOMIX BETON READYMIX.CV</t>
  </si>
  <si>
    <t>CILEGON</t>
  </si>
  <si>
    <t>AB29</t>
  </si>
  <si>
    <t>TUBAN</t>
  </si>
  <si>
    <t>VUB / PRY PERTAMINA LPG THP 2</t>
  </si>
  <si>
    <r>
      <t xml:space="preserve">Sudah dibayar </t>
    </r>
    <r>
      <rPr>
        <rFont val="Calibri"/>
        <b/>
        <color theme="1"/>
        <sz val="9.0"/>
      </rPr>
      <t>15 Jul 25 3rit</t>
    </r>
  </si>
  <si>
    <t>BOJONEGORO</t>
  </si>
  <si>
    <t>RDM BETON BUDI MULYA PL KALITIDU</t>
  </si>
  <si>
    <t>CIREBON</t>
  </si>
  <si>
    <r>
      <t xml:space="preserve">Sudah dibayar </t>
    </r>
    <r>
      <rPr>
        <rFont val="Calibri"/>
        <b/>
        <color theme="1"/>
        <sz val="9.0"/>
      </rPr>
      <t>13 Jul 25</t>
    </r>
  </si>
  <si>
    <t>AF18</t>
  </si>
  <si>
    <r>
      <rPr>
        <rFont val="Calibri"/>
        <b/>
        <color theme="1"/>
        <sz val="9.0"/>
      </rPr>
      <t>10 Jul 25</t>
    </r>
    <r>
      <rPr>
        <rFont val="Calibri"/>
        <color theme="1"/>
        <sz val="9.0"/>
      </rPr>
      <t xml:space="preserve"> Mas Mawan 300.000 </t>
    </r>
    <r>
      <rPr>
        <rFont val="Calibri"/>
        <b/>
        <color theme="1"/>
        <sz val="9.0"/>
      </rPr>
      <t>(3rit)</t>
    </r>
  </si>
  <si>
    <t>LANTAI MAS CV.</t>
  </si>
  <si>
    <t>SATWIGA MUSTIKA NIAGA (METESEH)</t>
  </si>
  <si>
    <t>AF20</t>
  </si>
  <si>
    <t>KANCI</t>
  </si>
  <si>
    <t>TRIPALINDO TRANS MIX PL JOMBANG</t>
  </si>
  <si>
    <t>TULUNGAGUNG</t>
  </si>
  <si>
    <t>RDM GORIP NANDAGUNA-JLS TULUNGAGUNG</t>
  </si>
  <si>
    <t>BF01</t>
  </si>
  <si>
    <t>DEMAK - KERANGGA</t>
  </si>
  <si>
    <t>MADIUN</t>
  </si>
  <si>
    <t>RDM CIA MIX / PRY PASAR BESAR NGAWI</t>
  </si>
  <si>
    <r>
      <t xml:space="preserve">Sudah dibayar </t>
    </r>
    <r>
      <rPr>
        <rFont val="Calibri"/>
        <b/>
        <color theme="1"/>
        <sz val="9.0"/>
      </rPr>
      <t>15 Jul 25 3rit</t>
    </r>
  </si>
  <si>
    <r>
      <t xml:space="preserve">Sudah dibayar </t>
    </r>
    <r>
      <rPr>
        <rFont val="Calibri"/>
        <b/>
        <color theme="1"/>
        <sz val="9.0"/>
      </rPr>
      <t>18 Jul 25</t>
    </r>
  </si>
  <si>
    <r>
      <rPr>
        <rFont val="Calibri"/>
        <b/>
        <color theme="1"/>
        <sz val="9.0"/>
      </rPr>
      <t>Selisih 80 kg, 30.78 jadi 30.68. 13 Jul 25</t>
    </r>
    <r>
      <rPr>
        <rFont val="Calibri"/>
        <color theme="1"/>
        <sz val="9.0"/>
      </rPr>
      <t xml:space="preserve"> Mbah Man 150.000 </t>
    </r>
    <r>
      <rPr>
        <rFont val="Calibri"/>
        <b/>
        <color theme="1"/>
        <sz val="9.0"/>
      </rPr>
      <t>(3rit)</t>
    </r>
    <r>
      <rPr>
        <rFont val="Calibri"/>
        <b val="0"/>
        <color theme="1"/>
        <sz val="9.0"/>
      </rPr>
      <t>,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15 Jul 25</t>
    </r>
    <r>
      <rPr>
        <rFont val="Calibri"/>
        <color theme="1"/>
        <sz val="9.0"/>
      </rPr>
      <t xml:space="preserve"> Mas Mawan 300.000 </t>
    </r>
    <r>
      <rPr>
        <rFont val="Calibri"/>
        <b/>
        <color theme="1"/>
        <sz val="9.0"/>
      </rPr>
      <t>(3rit)</t>
    </r>
  </si>
  <si>
    <t>NGAWI</t>
  </si>
  <si>
    <t>SUMBER BETON UTAMA PT</t>
  </si>
  <si>
    <t>Muatan 32 up</t>
  </si>
  <si>
    <t>PONOROGO</t>
  </si>
  <si>
    <t>CV. PASTIKA DIPTA</t>
  </si>
  <si>
    <t>BF12</t>
  </si>
  <si>
    <t>SAYUNG</t>
  </si>
  <si>
    <t>JEMBER</t>
  </si>
  <si>
    <t>DUTA BANGSA CV.</t>
  </si>
  <si>
    <t>PROBOLINGGO</t>
  </si>
  <si>
    <t>VUB PROBOLINGGO / PRY TOL PROBOWANG</t>
  </si>
  <si>
    <t>BF10</t>
  </si>
  <si>
    <t>MRANGGEN</t>
  </si>
  <si>
    <t>SITUBONDO</t>
  </si>
  <si>
    <t>DUTA BANGSA MANDIRI PV SITUBONDO</t>
  </si>
  <si>
    <r>
      <t xml:space="preserve">Sudah dibayar </t>
    </r>
    <r>
      <rPr>
        <rFont val="Calibri"/>
        <b/>
        <color theme="1"/>
        <sz val="9.0"/>
      </rPr>
      <t>15 Jul 25 3rit</t>
    </r>
  </si>
  <si>
    <r>
      <t xml:space="preserve">Sudah dibayar </t>
    </r>
    <r>
      <rPr>
        <rFont val="Calibri"/>
        <b/>
        <color theme="1"/>
        <sz val="9.0"/>
      </rPr>
      <t>18 Jul 25</t>
    </r>
  </si>
  <si>
    <t>PERUSAHAAN TEGEL &amp; BETON "ACC"</t>
  </si>
  <si>
    <t>DB46</t>
  </si>
  <si>
    <t>KEBOMAS</t>
  </si>
  <si>
    <r>
      <t xml:space="preserve">Sudah dibayar </t>
    </r>
    <r>
      <rPr>
        <rFont val="Calibri"/>
        <b/>
        <color theme="1"/>
        <sz val="9.0"/>
      </rPr>
      <t>31 Jul 25 2rit</t>
    </r>
  </si>
  <si>
    <r>
      <t xml:space="preserve">Sudah dibayar </t>
    </r>
    <r>
      <rPr>
        <rFont val="Calibri"/>
        <b/>
        <color theme="1"/>
        <sz val="9.0"/>
      </rPr>
      <t>18 Jul 25</t>
    </r>
  </si>
  <si>
    <r>
      <rPr>
        <rFont val="Calibri"/>
        <b/>
        <color theme="1"/>
        <sz val="9.0"/>
      </rPr>
      <t>18 Jul 25</t>
    </r>
    <r>
      <rPr>
        <rFont val="Calibri"/>
        <color theme="1"/>
        <sz val="9.0"/>
      </rPr>
      <t xml:space="preserve"> Mbah Man 150.000 </t>
    </r>
    <r>
      <rPr>
        <rFont val="Calibri"/>
        <b/>
        <color theme="1"/>
        <sz val="9.0"/>
      </rPr>
      <t>(3rit)</t>
    </r>
  </si>
  <si>
    <t>PP SMI BANYUWANGI</t>
  </si>
  <si>
    <t>KEDIRI</t>
  </si>
  <si>
    <t>DG12</t>
  </si>
  <si>
    <t>PROBOLINGGO - RUAS BESUKI</t>
  </si>
  <si>
    <r>
      <t xml:space="preserve">Sudah dibayar </t>
    </r>
    <r>
      <rPr>
        <rFont val="Calibri"/>
        <b/>
        <color theme="1"/>
        <sz val="9.0"/>
      </rPr>
      <t>31 Jul 25 2rit</t>
    </r>
  </si>
  <si>
    <r>
      <t xml:space="preserve">Sudah dibayar </t>
    </r>
    <r>
      <rPr>
        <rFont val="Calibri"/>
        <b/>
        <color theme="1"/>
        <sz val="9.0"/>
      </rPr>
      <t>25 Jul 25</t>
    </r>
  </si>
  <si>
    <r>
      <rPr>
        <rFont val="Calibri"/>
        <b/>
        <color theme="1"/>
        <sz val="9.0"/>
      </rPr>
      <t>25 Jul 25</t>
    </r>
    <r>
      <rPr>
        <rFont val="Calibri"/>
        <color theme="1"/>
        <sz val="9.0"/>
      </rPr>
      <t xml:space="preserve"> Mbah Man 50.000 </t>
    </r>
    <r>
      <rPr>
        <rFont val="Calibri"/>
        <b/>
        <color theme="1"/>
        <sz val="9.0"/>
      </rPr>
      <t>(1rit)</t>
    </r>
  </si>
  <si>
    <t>MAGELANG</t>
  </si>
  <si>
    <t>Alam daya sejahtera</t>
  </si>
  <si>
    <t>DG13</t>
  </si>
  <si>
    <t>DRIYOREJO</t>
  </si>
  <si>
    <t>2 April 26 naik dr 31 ke 32 khusus miwa</t>
  </si>
  <si>
    <t>DG14</t>
  </si>
  <si>
    <t>MANYAR</t>
  </si>
  <si>
    <t>SURABAYA</t>
  </si>
  <si>
    <t>DB48</t>
  </si>
  <si>
    <t>WRINGIN ANOM</t>
  </si>
  <si>
    <t>Sudah dibayar 29 Jul 25</t>
  </si>
  <si>
    <r>
      <t xml:space="preserve">Sudah dibayar </t>
    </r>
    <r>
      <rPr>
        <rFont val="Calibri"/>
        <b/>
        <color theme="1"/>
        <sz val="9.0"/>
      </rPr>
      <t>9 Agu 25 5rit</t>
    </r>
  </si>
  <si>
    <r>
      <t xml:space="preserve">Sudah dibayar </t>
    </r>
    <r>
      <rPr>
        <rFont val="Calibri"/>
        <b/>
        <color theme="1"/>
        <sz val="9.0"/>
      </rPr>
      <t>28 Jul 25</t>
    </r>
  </si>
  <si>
    <r>
      <rPr>
        <rFont val="Calibri"/>
        <b/>
        <color theme="1"/>
        <sz val="9.0"/>
      </rPr>
      <t>28 Jul 25</t>
    </r>
    <r>
      <rPr>
        <rFont val="Calibri"/>
        <color theme="1"/>
        <sz val="9.0"/>
      </rPr>
      <t xml:space="preserve"> Mbah Man 50.000 </t>
    </r>
    <r>
      <rPr>
        <rFont val="Calibri"/>
        <b/>
        <color theme="1"/>
        <sz val="9.0"/>
      </rPr>
      <t>(1rit)</t>
    </r>
  </si>
  <si>
    <t>KARANGANYAR BI22</t>
  </si>
  <si>
    <t>KUDUS</t>
  </si>
  <si>
    <t>DUTA SARANA PERKASA (KARANGANYAR)</t>
  </si>
  <si>
    <t>DG16</t>
  </si>
  <si>
    <t>MITRA BETON PERKASA (KUDUS)</t>
  </si>
  <si>
    <t>KEDAMEAN</t>
  </si>
  <si>
    <t>Tegal</t>
  </si>
  <si>
    <t>GROBOGAN</t>
  </si>
  <si>
    <t>BH04</t>
  </si>
  <si>
    <t>NOTE :</t>
  </si>
  <si>
    <t>TAMBAHAN DI HITUNG DIMULAI DARI 32 TON</t>
  </si>
  <si>
    <t>TONASE TIDAK BOLEH MELEBIHI 34</t>
  </si>
  <si>
    <r>
      <t xml:space="preserve">Sudah dibayar </t>
    </r>
    <r>
      <rPr>
        <rFont val="Calibri"/>
        <b/>
        <color theme="1"/>
        <sz val="9.0"/>
      </rPr>
      <t>9 Agu 25 5rit</t>
    </r>
  </si>
  <si>
    <r>
      <t xml:space="preserve">Sudah dibayar </t>
    </r>
    <r>
      <rPr>
        <rFont val="Calibri"/>
        <b/>
        <color theme="1"/>
        <sz val="9.0"/>
      </rPr>
      <t>3 Agu 25</t>
    </r>
  </si>
  <si>
    <r>
      <rPr>
        <rFont val="Calibri"/>
        <b/>
        <color theme="1"/>
        <sz val="9.0"/>
      </rPr>
      <t>3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Agu 25</t>
    </r>
    <r>
      <rPr>
        <rFont val="Calibri"/>
        <color theme="1"/>
        <sz val="9.0"/>
      </rPr>
      <t xml:space="preserve"> Mbah Man 100.000 </t>
    </r>
    <r>
      <rPr>
        <rFont val="Calibri"/>
        <b/>
        <color theme="1"/>
        <sz val="9.0"/>
      </rPr>
      <t>(2rit)</t>
    </r>
  </si>
  <si>
    <t>BH10</t>
  </si>
  <si>
    <t>KUWU</t>
  </si>
  <si>
    <t>BH16</t>
  </si>
  <si>
    <t>PURWODADI - JATENG</t>
  </si>
  <si>
    <t>Sudah dibayar 5 Agu 25</t>
  </si>
  <si>
    <r>
      <t xml:space="preserve">Sudah dibayar </t>
    </r>
    <r>
      <rPr>
        <rFont val="Calibri"/>
        <b/>
        <color theme="1"/>
        <sz val="9.0"/>
      </rPr>
      <t>9 Agu 25 5rit</t>
    </r>
  </si>
  <si>
    <r>
      <t xml:space="preserve">Sudah dibayar </t>
    </r>
    <r>
      <rPr>
        <rFont val="Calibri"/>
        <b/>
        <color theme="1"/>
        <sz val="9.0"/>
      </rPr>
      <t>3 Agu 25</t>
    </r>
  </si>
  <si>
    <r>
      <rPr>
        <rFont val="Calibri"/>
        <b/>
        <color theme="1"/>
        <sz val="9.0"/>
      </rPr>
      <t>31 Jul 25</t>
    </r>
    <r>
      <rPr>
        <rFont val="Calibri"/>
        <color theme="1"/>
        <sz val="9.0"/>
      </rPr>
      <t xml:space="preserve"> Mas Mawan 200.000 </t>
    </r>
    <r>
      <rPr>
        <rFont val="Calibri"/>
        <b/>
        <color theme="1"/>
        <sz val="9.0"/>
      </rPr>
      <t>(2rit)</t>
    </r>
  </si>
  <si>
    <t>CA22</t>
  </si>
  <si>
    <t>WONOSARI - YOGASARI</t>
  </si>
  <si>
    <t>INDRAMAYU</t>
  </si>
  <si>
    <t>AF10</t>
  </si>
  <si>
    <t>JAKARTA TIMUR</t>
  </si>
  <si>
    <t>AA05</t>
  </si>
  <si>
    <r>
      <t xml:space="preserve">Sudah dibayar </t>
    </r>
    <r>
      <rPr>
        <rFont val="Calibri"/>
        <b/>
        <color theme="1"/>
        <sz val="9.0"/>
      </rPr>
      <t>9 Agu 25 5rit</t>
    </r>
  </si>
  <si>
    <r>
      <t xml:space="preserve">Sudah dibayar </t>
    </r>
    <r>
      <rPr>
        <rFont val="Calibri"/>
        <b/>
        <color theme="1"/>
        <sz val="9.0"/>
      </rPr>
      <t>9 Agu 25 2rit</t>
    </r>
  </si>
  <si>
    <t>APB BP BAWEN / TOL JBW SEC 6 (BAWEN)</t>
  </si>
  <si>
    <t>DJ04</t>
  </si>
  <si>
    <t>RAMBIPUJI</t>
  </si>
  <si>
    <t>Taman</t>
  </si>
  <si>
    <t>DJ01</t>
  </si>
  <si>
    <t>Sudah dibayar 13 Agu 25</t>
  </si>
  <si>
    <r>
      <t xml:space="preserve">Sudah dibayar </t>
    </r>
    <r>
      <rPr>
        <rFont val="Calibri"/>
        <b/>
        <color theme="1"/>
        <sz val="9.0"/>
      </rPr>
      <t>9 Agu 25 5rit</t>
    </r>
  </si>
  <si>
    <t>BG07</t>
  </si>
  <si>
    <r>
      <t xml:space="preserve">Sudah dibayar </t>
    </r>
    <r>
      <rPr>
        <rFont val="Calibri"/>
        <b/>
        <color theme="1"/>
        <sz val="9.0"/>
      </rPr>
      <t>9 Agu 25 2rit</t>
    </r>
  </si>
  <si>
    <r>
      <rPr>
        <rFont val="Calibri"/>
        <b/>
        <color theme="1"/>
        <sz val="9.0"/>
      </rPr>
      <t>9 Agu 25</t>
    </r>
    <r>
      <rPr>
        <rFont val="Calibri"/>
        <color theme="1"/>
        <sz val="9.0"/>
      </rPr>
      <t xml:space="preserve"> Mas Mawan 500.000 </t>
    </r>
    <r>
      <rPr>
        <rFont val="Calibri"/>
        <b/>
        <color theme="1"/>
        <sz val="9.0"/>
      </rPr>
      <t>(5rit)</t>
    </r>
    <r>
      <rPr>
        <rFont val="Calibri"/>
        <b val="0"/>
        <color theme="1"/>
        <sz val="9.0"/>
      </rPr>
      <t>,</t>
    </r>
    <r>
      <rPr>
        <rFont val="Calibri"/>
        <b/>
        <color theme="1"/>
        <sz val="9.0"/>
      </rPr>
      <t xml:space="preserve"> 9 Agu 25 </t>
    </r>
    <r>
      <rPr>
        <rFont val="Calibri"/>
        <b val="0"/>
        <color theme="1"/>
        <sz val="9.0"/>
      </rPr>
      <t>Mbah Man 100.000</t>
    </r>
    <r>
      <rPr>
        <rFont val="Calibri"/>
        <b/>
        <color theme="1"/>
        <sz val="9.0"/>
      </rPr>
      <t xml:space="preserve"> (2rit)</t>
    </r>
  </si>
  <si>
    <t>STO INTERUNIT</t>
  </si>
  <si>
    <t>JETTY TUBAN</t>
  </si>
  <si>
    <t>POLLYSLING</t>
  </si>
  <si>
    <r>
      <t xml:space="preserve">Sudah dibayar </t>
    </r>
    <r>
      <rPr>
        <rFont val="Calibri"/>
        <b/>
        <color theme="1"/>
        <sz val="9.0"/>
      </rPr>
      <t>12 Sep 25 10rit</t>
    </r>
  </si>
  <si>
    <r>
      <t xml:space="preserve">Sudah dibayar </t>
    </r>
    <r>
      <rPr>
        <rFont val="Calibri"/>
        <b/>
        <color theme="1"/>
        <sz val="9.0"/>
      </rPr>
      <t>25 Agu 25 2rit</t>
    </r>
  </si>
  <si>
    <t>EKSPOR</t>
  </si>
  <si>
    <t>TANGGAL</t>
  </si>
  <si>
    <t>PENGELUARAN</t>
  </si>
  <si>
    <t>NOMINAL</t>
  </si>
  <si>
    <t>ADMIN</t>
  </si>
  <si>
    <t xml:space="preserve">KETERANGAN </t>
  </si>
  <si>
    <t xml:space="preserve">Keterangan Perbaikan </t>
  </si>
  <si>
    <t>Jasa Cek Truk Mas Mawan &amp; Pak Rokhim Mekanik</t>
  </si>
  <si>
    <t>DF27</t>
  </si>
  <si>
    <t>GUDO</t>
  </si>
  <si>
    <t>Tuban</t>
  </si>
  <si>
    <t>Jum'at, 30 Mei 2025</t>
  </si>
  <si>
    <t>DP Truk Mas Ari</t>
  </si>
  <si>
    <t xml:space="preserve">Selang Gajah </t>
  </si>
  <si>
    <t>5 meter</t>
  </si>
  <si>
    <t>DF37</t>
  </si>
  <si>
    <t>PLANDAAN</t>
  </si>
  <si>
    <t xml:space="preserve">Tuban </t>
  </si>
  <si>
    <t>GPS Idtrack Truk 1 Tahun</t>
  </si>
  <si>
    <r>
      <t xml:space="preserve">Sudah dibayar </t>
    </r>
    <r>
      <rPr>
        <rFont val="Calibri"/>
        <b/>
        <color theme="1"/>
        <sz val="9.0"/>
      </rPr>
      <t>12 Sep 25 10rit</t>
    </r>
  </si>
  <si>
    <t>1 Tahun</t>
  </si>
  <si>
    <r>
      <t xml:space="preserve">Sudah dibayar </t>
    </r>
    <r>
      <rPr>
        <rFont val="Calibri"/>
        <b/>
        <color theme="1"/>
        <sz val="9.0"/>
      </rPr>
      <t>25 Agu 25 2rit</t>
    </r>
  </si>
  <si>
    <r>
      <rPr>
        <rFont val="Calibri"/>
        <b/>
        <color theme="1"/>
        <sz val="9.0"/>
      </rPr>
      <t>17 Agu 25</t>
    </r>
    <r>
      <rPr>
        <rFont val="Calibri"/>
        <color theme="1"/>
        <sz val="9.0"/>
      </rPr>
      <t xml:space="preserve"> Mas Yono Insentif 1.910.000 </t>
    </r>
    <r>
      <rPr>
        <rFont val="Calibri"/>
        <b/>
        <color theme="1"/>
        <sz val="9.0"/>
      </rPr>
      <t>(18 rit)</t>
    </r>
  </si>
  <si>
    <t xml:space="preserve">Jasa Mas Mawan Pengambilan Truk </t>
  </si>
  <si>
    <t>Plumpung Tuban</t>
  </si>
  <si>
    <t>BI22</t>
  </si>
  <si>
    <t>KARANGANYAR - SUKATE</t>
  </si>
  <si>
    <t>Jasa Sopir Truk</t>
  </si>
  <si>
    <t>GEMILANG MAKMUR (MAGELANG)</t>
  </si>
  <si>
    <t>Solar Truk Pertama</t>
  </si>
  <si>
    <t>Pembayaran Truk 1</t>
  </si>
  <si>
    <t>RTGS</t>
  </si>
  <si>
    <t>KARANGASEM</t>
  </si>
  <si>
    <t>ED01</t>
  </si>
  <si>
    <t>Pembayaran Truk 2</t>
  </si>
  <si>
    <t>Karangasem</t>
  </si>
  <si>
    <t xml:space="preserve">Aki Tukar Tambah </t>
  </si>
  <si>
    <t>2 pcs</t>
  </si>
  <si>
    <t>Sudah dibayar 17 Mar 26</t>
  </si>
  <si>
    <t>Pembayaran Truk 3</t>
  </si>
  <si>
    <r>
      <t xml:space="preserve">Sudah dibayar </t>
    </r>
    <r>
      <rPr>
        <rFont val="Calibri"/>
        <b/>
        <color theme="1"/>
        <sz val="9.0"/>
      </rPr>
      <t>12 Sep 25 10rit</t>
    </r>
  </si>
  <si>
    <r>
      <t xml:space="preserve">Sudah dibayar </t>
    </r>
    <r>
      <rPr>
        <rFont val="Calibri"/>
        <b/>
        <color theme="1"/>
        <sz val="9.0"/>
      </rPr>
      <t>25 Agu 25 2rit</t>
    </r>
  </si>
  <si>
    <r>
      <t xml:space="preserve">25 Agu 25 </t>
    </r>
    <r>
      <rPr>
        <rFont val="Calibri"/>
        <b val="0"/>
        <color theme="1"/>
        <sz val="9.0"/>
      </rPr>
      <t>Mbah Man 150.000 (3rit)</t>
    </r>
  </si>
  <si>
    <t>KEBUMEN</t>
  </si>
  <si>
    <t>BD01</t>
  </si>
  <si>
    <t>WITON/ PRY TOL (SITUBONDO)</t>
  </si>
  <si>
    <t>BBM Perjalanan</t>
  </si>
  <si>
    <t>Bekasi</t>
  </si>
  <si>
    <t>DD15</t>
  </si>
  <si>
    <t>KEDIRI KOTA</t>
  </si>
  <si>
    <t>Hotel Front One</t>
  </si>
  <si>
    <t>Sudah dibayar 28 Agu 25</t>
  </si>
  <si>
    <t>DD44</t>
  </si>
  <si>
    <t>Ban Duraturn 1100 R20</t>
  </si>
  <si>
    <t>GROGOL</t>
  </si>
  <si>
    <r>
      <t xml:space="preserve">Sudah dibayar </t>
    </r>
    <r>
      <rPr>
        <rFont val="Calibri"/>
        <b/>
        <color theme="1"/>
        <sz val="9.0"/>
      </rPr>
      <t>12 Sep 25 10rit</t>
    </r>
  </si>
  <si>
    <r>
      <t>Sudah dibayar 7</t>
    </r>
    <r>
      <rPr>
        <rFont val="Calibri"/>
        <b/>
        <color theme="1"/>
        <sz val="9.0"/>
      </rPr>
      <t xml:space="preserve"> Sep 25 4rit</t>
    </r>
  </si>
  <si>
    <t>2 set</t>
  </si>
  <si>
    <t>Shopee</t>
  </si>
  <si>
    <t xml:space="preserve">4.521.480/set lengkap ban dalam dan marset </t>
  </si>
  <si>
    <t>SURABAYA  DG37</t>
  </si>
  <si>
    <t>UNGGUL JAYA BETON (SURBAYA)</t>
  </si>
  <si>
    <t>Batang</t>
  </si>
  <si>
    <t>Ban Depan Benang Bridgestone 1100 R20</t>
  </si>
  <si>
    <t>1 pcs</t>
  </si>
  <si>
    <t>KENDAL</t>
  </si>
  <si>
    <t>BF30</t>
  </si>
  <si>
    <t xml:space="preserve">Ban Dalam+Marset 1100 R20 </t>
  </si>
  <si>
    <t xml:space="preserve">Untuk Bridgestone </t>
  </si>
  <si>
    <t>Ganti Valve + Tukar Tambah + Pasang</t>
  </si>
  <si>
    <t>4 pcs</t>
  </si>
  <si>
    <t>Pak Yanto Pereng Tuban</t>
  </si>
  <si>
    <r>
      <t xml:space="preserve">Sudah dibayar </t>
    </r>
    <r>
      <rPr>
        <rFont val="Calibri"/>
        <b/>
        <color theme="1"/>
        <sz val="9.0"/>
      </rPr>
      <t>12 Sep 25 10rit</t>
    </r>
  </si>
  <si>
    <t>BF31</t>
  </si>
  <si>
    <t>KALIWUNGU - KENDAL</t>
  </si>
  <si>
    <r>
      <t>Sudah dibayar 7</t>
    </r>
    <r>
      <rPr>
        <rFont val="Calibri"/>
        <b/>
        <color theme="1"/>
        <sz val="9.0"/>
      </rPr>
      <t xml:space="preserve"> Sep 25 4rit</t>
    </r>
  </si>
  <si>
    <t>Pembersihan Dalam Tangki (Arslet)</t>
  </si>
  <si>
    <t>4 lubang</t>
  </si>
  <si>
    <t xml:space="preserve">Karet Koneksi Pipa Selang Gajah </t>
  </si>
  <si>
    <t>Jasa Pasang Selang Gajah</t>
  </si>
  <si>
    <t>BI01</t>
  </si>
  <si>
    <t>Sudah dibayar 5 Sep 25</t>
  </si>
  <si>
    <t>BI85</t>
  </si>
  <si>
    <t>JUWIRING</t>
  </si>
  <si>
    <r>
      <t xml:space="preserve">Sudah dibayar </t>
    </r>
    <r>
      <rPr>
        <rFont val="Calibri"/>
        <b/>
        <color theme="1"/>
        <sz val="9.0"/>
      </rPr>
      <t>12 Sep 25 10rit</t>
    </r>
  </si>
  <si>
    <r>
      <t>Sudah dibayar 7</t>
    </r>
    <r>
      <rPr>
        <rFont val="Calibri"/>
        <b/>
        <color theme="1"/>
        <sz val="9.0"/>
      </rPr>
      <t xml:space="preserve"> Sep 25 4rit</t>
    </r>
  </si>
  <si>
    <t>EDOMIX MEGA BETON (BOJONEGORO)</t>
  </si>
  <si>
    <t>BG01</t>
  </si>
  <si>
    <t>Cuci Truk</t>
  </si>
  <si>
    <t>Perpanjangan STNK + Jasa Biro</t>
  </si>
  <si>
    <t>BG02</t>
  </si>
  <si>
    <r>
      <t xml:space="preserve">Sudah dibayar </t>
    </r>
    <r>
      <rPr>
        <rFont val="Calibri"/>
        <b/>
        <color theme="1"/>
        <sz val="9.0"/>
      </rPr>
      <t>12 Sep 25 10rit</t>
    </r>
  </si>
  <si>
    <t>UNDAAN</t>
  </si>
  <si>
    <r>
      <t>Sudah dibayar 7</t>
    </r>
    <r>
      <rPr>
        <rFont val="Calibri"/>
        <b/>
        <color theme="1"/>
        <sz val="9.0"/>
      </rPr>
      <t xml:space="preserve"> Sep 25 4rit</t>
    </r>
  </si>
  <si>
    <r>
      <t xml:space="preserve">7 Sep 25 </t>
    </r>
    <r>
      <rPr>
        <rFont val="Calibri"/>
        <b val="0"/>
        <color theme="1"/>
        <sz val="9.0"/>
      </rPr>
      <t>Mbah Man 200.000 (4rit)</t>
    </r>
  </si>
  <si>
    <t>Uang Awal Mas Yono</t>
  </si>
  <si>
    <t xml:space="preserve">Las Kenteng Bemper Belakang </t>
  </si>
  <si>
    <t>Pak Nur Tuban</t>
  </si>
  <si>
    <t>BG03</t>
  </si>
  <si>
    <t>KALIWUNGU</t>
  </si>
  <si>
    <t>Las Pengaman Belakang Kanan Kiri</t>
  </si>
  <si>
    <t>Las Pindah Pangkon Selang Gajah</t>
  </si>
  <si>
    <t>Las Pembuatan Pengaman Aki + Gantungan Knalpot</t>
  </si>
  <si>
    <t>KUNINGAN</t>
  </si>
  <si>
    <t>AF29</t>
  </si>
  <si>
    <r>
      <t xml:space="preserve">Sudah dibayar </t>
    </r>
    <r>
      <rPr>
        <rFont val="Calibri"/>
        <b/>
        <color theme="1"/>
        <sz val="9.0"/>
      </rPr>
      <t>12 Sep 25 10rit</t>
    </r>
  </si>
  <si>
    <r>
      <t xml:space="preserve">Sudah dibayar </t>
    </r>
    <r>
      <rPr>
        <rFont val="Calibri"/>
        <b/>
        <color theme="1"/>
        <sz val="9.0"/>
      </rPr>
      <t>23 Sep 25 6 rit</t>
    </r>
  </si>
  <si>
    <t>Selisih 460 kg, 32.20 jadi 31.74</t>
  </si>
  <si>
    <t>Jasa Mas Mawan Urus STNK + Ambil Dongkrak + Uang Tip Sopir Truk</t>
  </si>
  <si>
    <t>DC08</t>
  </si>
  <si>
    <t>DC11</t>
  </si>
  <si>
    <t>Seal Rem Belakang</t>
  </si>
  <si>
    <t>BALEREJO</t>
  </si>
  <si>
    <t xml:space="preserve">Mbah Datuk Tuban </t>
  </si>
  <si>
    <r>
      <t xml:space="preserve">Sudah dibayar </t>
    </r>
    <r>
      <rPr>
        <rFont val="Calibri"/>
        <b/>
        <color theme="1"/>
        <sz val="9.0"/>
      </rPr>
      <t>12 Sep 25 10rit</t>
    </r>
  </si>
  <si>
    <r>
      <t xml:space="preserve">Sudah dibayar </t>
    </r>
    <r>
      <rPr>
        <rFont val="Calibri"/>
        <b/>
        <color theme="1"/>
        <sz val="9.0"/>
      </rPr>
      <t>23 Sep 25 6 rit</t>
    </r>
  </si>
  <si>
    <t>Surat Order Tambahan 30 ton batas</t>
  </si>
  <si>
    <t>Dop Double+Karet Kabin</t>
  </si>
  <si>
    <t>KH BETON (UNGARAN)</t>
  </si>
  <si>
    <t>Jasa Service Pintu+ Kaca Bongkar Pasang + Seal Rem Kampas Macet</t>
  </si>
  <si>
    <t>DC13</t>
  </si>
  <si>
    <t>DOLOPO</t>
  </si>
  <si>
    <t>Oli Visco Kipas</t>
  </si>
  <si>
    <t>12 botol</t>
  </si>
  <si>
    <t>Jasa Bongkar Pasang Kipas Radiator</t>
  </si>
  <si>
    <t>Copot Topi Kabin, Pasang Lampu Rotari</t>
  </si>
  <si>
    <t>DC15</t>
  </si>
  <si>
    <t>MEJAYAN</t>
  </si>
  <si>
    <t>Jassa Bongkar Pasang Ban Baru</t>
  </si>
  <si>
    <t>3 pcs</t>
  </si>
  <si>
    <t>Sudah dibayar 14 Sep 25</t>
  </si>
  <si>
    <r>
      <t xml:space="preserve">Sudah dibayar </t>
    </r>
    <r>
      <rPr>
        <rFont val="Calibri"/>
        <b/>
        <color theme="1"/>
        <sz val="9.0"/>
      </rPr>
      <t>12 Sep 25 10rit</t>
    </r>
  </si>
  <si>
    <t>BE04</t>
  </si>
  <si>
    <t>Kontrol Angin</t>
  </si>
  <si>
    <t>SECANG</t>
  </si>
  <si>
    <r>
      <t xml:space="preserve">Sudah dibayar </t>
    </r>
    <r>
      <rPr>
        <rFont val="Calibri"/>
        <b/>
        <color theme="1"/>
        <sz val="9.0"/>
      </rPr>
      <t>23 Sep 25 6 rit</t>
    </r>
  </si>
  <si>
    <r>
      <rPr>
        <rFont val="Calibri"/>
        <b/>
        <color theme="1"/>
        <sz val="9.0"/>
      </rPr>
      <t>12 Sep 25</t>
    </r>
    <r>
      <rPr>
        <rFont val="Calibri"/>
        <color theme="1"/>
        <sz val="9.0"/>
      </rPr>
      <t xml:space="preserve"> Mas Mawan 1.000.000 </t>
    </r>
    <r>
      <rPr>
        <rFont val="Calibri"/>
        <b/>
        <color theme="1"/>
        <sz val="9.0"/>
      </rPr>
      <t>(10rit)</t>
    </r>
  </si>
  <si>
    <t>Semua</t>
  </si>
  <si>
    <t>Jasa Ganti Baut Roda</t>
  </si>
  <si>
    <t>Patah baut roda</t>
  </si>
  <si>
    <t>BE07</t>
  </si>
  <si>
    <t>Baut Roda Belakang</t>
  </si>
  <si>
    <t xml:space="preserve">2 pcs </t>
  </si>
  <si>
    <t>Jasa Tossa Bawa 3 Ban Truk Baru</t>
  </si>
  <si>
    <t>Kabel</t>
  </si>
  <si>
    <t xml:space="preserve">Lampu jauh dan sein 2 nyala sendiri </t>
  </si>
  <si>
    <t>BE08</t>
  </si>
  <si>
    <t>MUNGKID</t>
  </si>
  <si>
    <t>Contact Cleaner</t>
  </si>
  <si>
    <r>
      <t xml:space="preserve">Sudah dibayar </t>
    </r>
    <r>
      <rPr>
        <rFont val="Calibri"/>
        <b/>
        <color theme="1"/>
        <sz val="9.0"/>
      </rPr>
      <t>7 Okt 25 5rit</t>
    </r>
  </si>
  <si>
    <t>Storing+Perbaikan</t>
  </si>
  <si>
    <r>
      <t xml:space="preserve">Sudah dibayar </t>
    </r>
    <r>
      <rPr>
        <rFont val="Calibri"/>
        <b/>
        <color theme="1"/>
        <sz val="9.0"/>
      </rPr>
      <t>23 Sep 25 6 rit</t>
    </r>
  </si>
  <si>
    <t>Tuker Tambah Ring Velg</t>
  </si>
  <si>
    <t>JIANHUA PRECAST (SAYUNG)</t>
  </si>
  <si>
    <t>SAWANGAN</t>
  </si>
  <si>
    <t>Ring velg pecah (lupa nota)</t>
  </si>
  <si>
    <t>Pembayaran ke Truk ke 4</t>
  </si>
  <si>
    <t>BNI</t>
  </si>
  <si>
    <t>Service Radiator+Bongkar pasang+Air Aqua</t>
  </si>
  <si>
    <t>Temperatur Naik</t>
  </si>
  <si>
    <t>MAGETAN</t>
  </si>
  <si>
    <t>DC19</t>
  </si>
  <si>
    <t>MAOSPATI</t>
  </si>
  <si>
    <t>Pembayaran ke Truk ke 5</t>
  </si>
  <si>
    <t>Filter Udara</t>
  </si>
  <si>
    <r>
      <t xml:space="preserve">Sudah dibayar </t>
    </r>
    <r>
      <rPr>
        <rFont val="Calibri"/>
        <b/>
        <color theme="1"/>
        <sz val="9.0"/>
      </rPr>
      <t>7 Okt 25 5rit</t>
    </r>
  </si>
  <si>
    <t>MAJALENGKA</t>
  </si>
  <si>
    <r>
      <t xml:space="preserve">Sudah dibayar </t>
    </r>
    <r>
      <rPr>
        <rFont val="Calibri"/>
        <b/>
        <color theme="1"/>
        <sz val="9.0"/>
      </rPr>
      <t>23 Sep 25 6 rit</t>
    </r>
  </si>
  <si>
    <t>AF23</t>
  </si>
  <si>
    <t>Selisih 560 kg, 35.96 jadi 35.40</t>
  </si>
  <si>
    <t>Jaya Subur</t>
  </si>
  <si>
    <t>Ongkir</t>
  </si>
  <si>
    <t>Air Cuci Truk</t>
  </si>
  <si>
    <t>DE12</t>
  </si>
  <si>
    <t>HCL</t>
  </si>
  <si>
    <t>Jasa Cuci HCL</t>
  </si>
  <si>
    <t>Ban Bekas 1100 R20+Pasang (Kanan Luar Tengah)</t>
  </si>
  <si>
    <t>DE26</t>
  </si>
  <si>
    <t>Ban kena batu sobek</t>
  </si>
  <si>
    <t>BULULAWANG MALANG</t>
  </si>
  <si>
    <t xml:space="preserve">Beli Velg Second </t>
  </si>
  <si>
    <r>
      <t xml:space="preserve">Sudah dibayar </t>
    </r>
    <r>
      <rPr>
        <rFont val="Calibri"/>
        <b/>
        <color theme="1"/>
        <sz val="9.0"/>
      </rPr>
      <t>7 Okt 25 5rit</t>
    </r>
  </si>
  <si>
    <r>
      <t xml:space="preserve">Sudah dibayar </t>
    </r>
    <r>
      <rPr>
        <rFont val="Calibri"/>
        <b/>
        <color theme="1"/>
        <sz val="9.0"/>
      </rPr>
      <t>23 Sep 25 6 rit</t>
    </r>
  </si>
  <si>
    <r>
      <rPr>
        <rFont val="Calibri"/>
        <b/>
        <color theme="1"/>
        <sz val="9.0"/>
      </rPr>
      <t>23 Sep 25</t>
    </r>
    <r>
      <rPr>
        <rFont val="Calibri"/>
        <color theme="1"/>
        <sz val="9.0"/>
      </rPr>
      <t xml:space="preserve"> Mbah Man 300.000 </t>
    </r>
    <r>
      <rPr>
        <rFont val="Calibri"/>
        <b/>
        <color theme="1"/>
        <sz val="9.0"/>
      </rPr>
      <t>(6rit)</t>
    </r>
  </si>
  <si>
    <t>Ngevet</t>
  </si>
  <si>
    <t>Mbah Datuk Tuban</t>
  </si>
  <si>
    <t>Putaran fan masih enteng</t>
  </si>
  <si>
    <t>DE37</t>
  </si>
  <si>
    <t>TUMPANG MALANG</t>
  </si>
  <si>
    <t>6 botol</t>
  </si>
  <si>
    <t xml:space="preserve">Jasa perbaikan </t>
  </si>
  <si>
    <t>DE15</t>
  </si>
  <si>
    <t>LAWANG</t>
  </si>
  <si>
    <t>Las &amp; Repair Knalpot</t>
  </si>
  <si>
    <t>Pak Nor Tuban</t>
  </si>
  <si>
    <r>
      <t xml:space="preserve">Sudah dibayar </t>
    </r>
    <r>
      <rPr>
        <rFont val="Calibri"/>
        <b/>
        <color theme="1"/>
        <sz val="9.0"/>
      </rPr>
      <t>7 Okt 25 5rit</t>
    </r>
  </si>
  <si>
    <t>Pembuatan Engkolan Ban Cadangan</t>
  </si>
  <si>
    <r>
      <t xml:space="preserve">Sudah dibayar </t>
    </r>
    <r>
      <rPr>
        <rFont val="Calibri"/>
        <b/>
        <color theme="1"/>
        <sz val="9.0"/>
      </rPr>
      <t>29 Sep 25 1 rit</t>
    </r>
  </si>
  <si>
    <t>DE16</t>
  </si>
  <si>
    <t>SINGOSARI</t>
  </si>
  <si>
    <t>Knalpot patah</t>
  </si>
  <si>
    <t>Lampu Samping Bumper Kanan Kiri</t>
  </si>
  <si>
    <t>14 pcs</t>
  </si>
  <si>
    <t>Shopee Mas Yono</t>
  </si>
  <si>
    <t>DE18</t>
  </si>
  <si>
    <t>KARANG PLOSO</t>
  </si>
  <si>
    <t>Relay Kaki 4</t>
  </si>
  <si>
    <t>RSP Electric Tuban</t>
  </si>
  <si>
    <t>DE21</t>
  </si>
  <si>
    <t>PAKISAJI</t>
  </si>
  <si>
    <r>
      <t xml:space="preserve">Sudah dibayar </t>
    </r>
    <r>
      <rPr>
        <rFont val="Calibri"/>
        <b/>
        <color theme="1"/>
        <sz val="9.0"/>
      </rPr>
      <t>7 Okt 25 5rit</t>
    </r>
  </si>
  <si>
    <t>DE23</t>
  </si>
  <si>
    <t>TUREN</t>
  </si>
  <si>
    <t xml:space="preserve">Mbah Man 150.000/Bulan sekarang </t>
  </si>
  <si>
    <t>DF08</t>
  </si>
  <si>
    <t>DF12</t>
  </si>
  <si>
    <t>PUNGGING</t>
  </si>
  <si>
    <r>
      <t xml:space="preserve">Sudah dibayar </t>
    </r>
    <r>
      <rPr>
        <rFont val="Calibri"/>
        <b/>
        <color theme="1"/>
        <sz val="9.0"/>
      </rPr>
      <t>28 Okt 25 12rit</t>
    </r>
  </si>
  <si>
    <t>EDOMIX KIRUN TANGGUH (BOJONEGORO)</t>
  </si>
  <si>
    <t>Socket Relay</t>
  </si>
  <si>
    <t>DF15</t>
  </si>
  <si>
    <t>GONDANG MOJOKERTO</t>
  </si>
  <si>
    <t>Rumah Sikring</t>
  </si>
  <si>
    <t>Skun Kabel</t>
  </si>
  <si>
    <t>DF17</t>
  </si>
  <si>
    <r>
      <t xml:space="preserve">Sudah dibayar </t>
    </r>
    <r>
      <rPr>
        <rFont val="Calibri"/>
        <b/>
        <color theme="1"/>
        <sz val="9.0"/>
      </rPr>
      <t>28 Okt 25 12rit</t>
    </r>
  </si>
  <si>
    <t>TROWULAN MOJOKERTO</t>
  </si>
  <si>
    <t>Mbah Man Pensiun, 29 Sep 25 Mbah Man 50.000 (1rit)</t>
  </si>
  <si>
    <t xml:space="preserve">Kabel </t>
  </si>
  <si>
    <t>35 meter</t>
  </si>
  <si>
    <t>DF34</t>
  </si>
  <si>
    <t>NGORO MOJOKERTO</t>
  </si>
  <si>
    <t>Jasa pasang</t>
  </si>
  <si>
    <t>Lampu Mundur Bulat</t>
  </si>
  <si>
    <t>DF11</t>
  </si>
  <si>
    <t>MOJOSARI</t>
  </si>
  <si>
    <t>Persiapan masuk SBI</t>
  </si>
  <si>
    <t>Alarm Mundur Truk+Socket Fuse</t>
  </si>
  <si>
    <t>TONASE BONGKAR</t>
  </si>
  <si>
    <t>DF13</t>
  </si>
  <si>
    <t>BANGSAL</t>
  </si>
  <si>
    <t>Lampu LED Sein Belakang</t>
  </si>
  <si>
    <t>POT LJU 2%</t>
  </si>
  <si>
    <t>UJ GRB 5%</t>
  </si>
  <si>
    <t>Sein belakang mati</t>
  </si>
  <si>
    <r>
      <t xml:space="preserve">Sudah dibayar </t>
    </r>
    <r>
      <rPr>
        <rFont val="Calibri"/>
        <b/>
        <color theme="1"/>
        <sz val="9.0"/>
      </rPr>
      <t>28 Okt 25 12rit</t>
    </r>
  </si>
  <si>
    <t>Kabel, Sikring, Baut</t>
  </si>
  <si>
    <t>7 meter</t>
  </si>
  <si>
    <t>DF14</t>
  </si>
  <si>
    <t>Selisih 370 kg, 32.86 jadi 32.49</t>
  </si>
  <si>
    <t>JATIREJO</t>
  </si>
  <si>
    <t>DF16</t>
  </si>
  <si>
    <t>KUTOREJO</t>
  </si>
  <si>
    <t>Uang Sepatu Safety+Transport</t>
  </si>
  <si>
    <t>1 Pasang</t>
  </si>
  <si>
    <t>Tuban Kota</t>
  </si>
  <si>
    <t>Kaca Film+Tulisan Stiker+Pasang</t>
  </si>
  <si>
    <t>Tambakboyo</t>
  </si>
  <si>
    <t>NGANJUK</t>
  </si>
  <si>
    <t>DD08</t>
  </si>
  <si>
    <t>TANJUNGANOM</t>
  </si>
  <si>
    <t>APAR 3KG</t>
  </si>
  <si>
    <t xml:space="preserve">Shopee </t>
  </si>
  <si>
    <t>Kacamata+Rompi Safety</t>
  </si>
  <si>
    <t>DC03</t>
  </si>
  <si>
    <r>
      <t xml:space="preserve">Sudah dibayar </t>
    </r>
    <r>
      <rPr>
        <rFont val="Calibri"/>
        <b/>
        <color theme="1"/>
        <sz val="9.0"/>
      </rPr>
      <t>28 Okt 25 12rit</t>
    </r>
  </si>
  <si>
    <t>GENENG</t>
  </si>
  <si>
    <t>Segitiga Pengaman+Stiker Merah 25m+Stiker Kuning 25m</t>
  </si>
  <si>
    <t>Selisih 30 kg, 31.16 jadi 31.13, 7 Okt 25 Mas Mawan 500.000 (5rit)</t>
  </si>
  <si>
    <t>Masker KN95+Kota P3K</t>
  </si>
  <si>
    <t>GRIYA PAVING MANDIRI (SUKOHARJO)</t>
  </si>
  <si>
    <t>DC01</t>
  </si>
  <si>
    <t>Coolant Hikari</t>
  </si>
  <si>
    <t>4 galon</t>
  </si>
  <si>
    <t>Spakbor Depan Hino RH</t>
  </si>
  <si>
    <t>PACITAN</t>
  </si>
  <si>
    <t>DC25</t>
  </si>
  <si>
    <t>PAMEKASAN</t>
  </si>
  <si>
    <t>Park Head Hino</t>
  </si>
  <si>
    <t>DJ49</t>
  </si>
  <si>
    <t>Pak Yanto Jenu</t>
  </si>
  <si>
    <r>
      <t xml:space="preserve">Sudah dibayar </t>
    </r>
    <r>
      <rPr>
        <rFont val="Calibri"/>
        <b/>
        <color theme="1"/>
        <sz val="9.0"/>
      </rPr>
      <t>28 Okt 25 12rit</t>
    </r>
  </si>
  <si>
    <t>Jasa Ganti Park Head</t>
  </si>
  <si>
    <t xml:space="preserve">Park Turbo </t>
  </si>
  <si>
    <t>PANGANDARAN</t>
  </si>
  <si>
    <t>AH36</t>
  </si>
  <si>
    <t>Strum Accu</t>
  </si>
  <si>
    <t>DH02</t>
  </si>
  <si>
    <t>PANDAAN</t>
  </si>
  <si>
    <r>
      <t xml:space="preserve">Sudah dibayar </t>
    </r>
    <r>
      <rPr>
        <rFont val="Calibri"/>
        <b/>
        <color theme="1"/>
        <sz val="9.0"/>
      </rPr>
      <t>28 Okt 25 8rit</t>
    </r>
  </si>
  <si>
    <t>30,86 jadi 30,56 selisih 300kg. (Tanggal 25 150.000 pengurus SILOG)</t>
  </si>
  <si>
    <t>DH04</t>
  </si>
  <si>
    <t>BEJI PASURUAN</t>
  </si>
  <si>
    <r>
      <t xml:space="preserve">Sudah dibayar </t>
    </r>
    <r>
      <rPr>
        <rFont val="Calibri"/>
        <b/>
        <color theme="1"/>
        <sz val="9.0"/>
      </rPr>
      <t>28 Okt 25 12rit</t>
    </r>
  </si>
  <si>
    <t>Selisih 350kg, 34 jadi 33.65</t>
  </si>
  <si>
    <t>DH06</t>
  </si>
  <si>
    <t>Tiptop Ban Engkel Kanan Luar</t>
  </si>
  <si>
    <t>PURWOSARI - PASURUAN</t>
  </si>
  <si>
    <t>PERDANA MULIA BETON (RANDUBLATUNG)</t>
  </si>
  <si>
    <t>Tambal Ban Maju Mapan Pati</t>
  </si>
  <si>
    <t>Ban kena batu sobek (18 Juni 25)</t>
  </si>
  <si>
    <t>Ban Dalam</t>
  </si>
  <si>
    <t>DH07</t>
  </si>
  <si>
    <t>POHJANTREK</t>
  </si>
  <si>
    <t>Marset</t>
  </si>
  <si>
    <t>Bongkar Pasang Ban</t>
  </si>
  <si>
    <r>
      <t xml:space="preserve">Sudah dibayar </t>
    </r>
    <r>
      <rPr>
        <rFont val="Calibri"/>
        <b/>
        <color theme="1"/>
        <sz val="9.0"/>
      </rPr>
      <t>28 Okt 25 11rit</t>
    </r>
  </si>
  <si>
    <t>DH10</t>
  </si>
  <si>
    <t>NGULING</t>
  </si>
  <si>
    <t>32,36 jadi 31,84 selisih 520kg</t>
  </si>
  <si>
    <t>Daftar GPS Inova Track (SBI)</t>
  </si>
  <si>
    <t>Ganjel Ban</t>
  </si>
  <si>
    <t>Mas Mawan Tuban</t>
  </si>
  <si>
    <t>STNK 1/12</t>
  </si>
  <si>
    <t>DH01</t>
  </si>
  <si>
    <t>STNK 2025-2026 dibagi 12 bulan</t>
  </si>
  <si>
    <r>
      <t xml:space="preserve">Sudah dibayar </t>
    </r>
    <r>
      <rPr>
        <rFont val="Calibri"/>
        <b/>
        <color theme="1"/>
        <sz val="9.0"/>
      </rPr>
      <t>28 Okt 25 12rit</t>
    </r>
  </si>
  <si>
    <t xml:space="preserve">Thermostat 76.5 derajat </t>
  </si>
  <si>
    <t xml:space="preserve">salah hitung </t>
  </si>
  <si>
    <t>Masker Topeng+ Id Card SBI</t>
  </si>
  <si>
    <t>LANCARJAYA MANDIRI (KEDIRI)</t>
  </si>
  <si>
    <t>DH12</t>
  </si>
  <si>
    <r>
      <t xml:space="preserve">Sudah dibayar </t>
    </r>
    <r>
      <rPr>
        <rFont val="Calibri"/>
        <b/>
        <color theme="1"/>
        <sz val="9.0"/>
      </rPr>
      <t>28 Okt 25 11rit</t>
    </r>
  </si>
  <si>
    <t>DH14</t>
  </si>
  <si>
    <t>GEMPOL</t>
  </si>
  <si>
    <t>U Bolt Lohan Tronton Rear M27x93x400</t>
  </si>
  <si>
    <t>BG13</t>
  </si>
  <si>
    <t>Trunion Bushing</t>
  </si>
  <si>
    <t>Rear Stopper</t>
  </si>
  <si>
    <r>
      <t xml:space="preserve">Sudah dibayar </t>
    </r>
    <r>
      <rPr>
        <rFont val="Calibri"/>
        <b/>
        <color theme="1"/>
        <sz val="9.0"/>
      </rPr>
      <t>28 Okt 25 12rit</t>
    </r>
  </si>
  <si>
    <t>1.800.000+50.000 Toll mas yon</t>
  </si>
  <si>
    <t>PEKALONGAN</t>
  </si>
  <si>
    <t>BB14</t>
  </si>
  <si>
    <t>Seal Gardan</t>
  </si>
  <si>
    <t>Oli Gardan SAE 140</t>
  </si>
  <si>
    <t>1 galon</t>
  </si>
  <si>
    <t>BB20</t>
  </si>
  <si>
    <t>Coolant Hikari 5 liter</t>
  </si>
  <si>
    <t>KAJEN</t>
  </si>
  <si>
    <t xml:space="preserve">Jasa Kirim Barang </t>
  </si>
  <si>
    <r>
      <t xml:space="preserve">Sudah dibayar </t>
    </r>
    <r>
      <rPr>
        <rFont val="Calibri"/>
        <b/>
        <color theme="1"/>
        <sz val="9.0"/>
      </rPr>
      <t>28 Okt 25 11rit</t>
    </r>
  </si>
  <si>
    <t>33,22 jadi 33,35 lebih 13kg</t>
  </si>
  <si>
    <t>Koh Hendra</t>
  </si>
  <si>
    <t>Jasa Bongkar Pasar Boogie/Trunion &amp; Motong Trunion Per</t>
  </si>
  <si>
    <t>BB22</t>
  </si>
  <si>
    <t>Jasa Pasang Karet Stoper 4 pcs</t>
  </si>
  <si>
    <t>Daftar+GPS Easygo (SI) 1/12</t>
  </si>
  <si>
    <r>
      <t xml:space="preserve">Sudah dibayar </t>
    </r>
    <r>
      <rPr>
        <rFont val="Calibri"/>
        <b/>
        <color theme="1"/>
        <sz val="9.0"/>
      </rPr>
      <t>28 Okt 25 12rit</t>
    </r>
  </si>
  <si>
    <t>Selisih 440kg, 32.62 jadi 32.18</t>
  </si>
  <si>
    <t>Helm Safety</t>
  </si>
  <si>
    <t>JUMBO BAG</t>
  </si>
  <si>
    <t>PELABUHAN SURABAYA</t>
  </si>
  <si>
    <t>DEMAK BF01</t>
  </si>
  <si>
    <t>NUSANTARA BUILDING INDUSTRI (DEMAK KARANG TENGAH)</t>
  </si>
  <si>
    <t>Perbaikkan Arset, Bikin Ring Filter Lubang Pipa</t>
  </si>
  <si>
    <r>
      <t xml:space="preserve">Sudah dibayar </t>
    </r>
    <r>
      <rPr>
        <rFont val="Calibri"/>
        <b/>
        <color theme="1"/>
        <sz val="9.0"/>
      </rPr>
      <t>28 Okt 25 11rit</t>
    </r>
  </si>
  <si>
    <t>34,36 jadi 34,28 selisih 80kg</t>
  </si>
  <si>
    <t>PEMALANG</t>
  </si>
  <si>
    <t>BB01</t>
  </si>
  <si>
    <t>INAX INTERNATIONAL (SEMARANG)</t>
  </si>
  <si>
    <t>Ganti Kran Pendorong 1 Inch Kuningan</t>
  </si>
  <si>
    <r>
      <t xml:space="preserve">Sudah dibayar </t>
    </r>
    <r>
      <rPr>
        <rFont val="Calibri"/>
        <b/>
        <color theme="1"/>
        <sz val="9.0"/>
      </rPr>
      <t>28 Okt 25 12rit</t>
    </r>
  </si>
  <si>
    <t>DH17</t>
  </si>
  <si>
    <t>Selisih 280kg, 33.32 jadi 33.04</t>
  </si>
  <si>
    <t>PURWAKARTA</t>
  </si>
  <si>
    <t>AE05</t>
  </si>
  <si>
    <t>PURWOREJO</t>
  </si>
  <si>
    <t>BD10</t>
  </si>
  <si>
    <r>
      <t xml:space="preserve">Sudah dibayar </t>
    </r>
    <r>
      <rPr>
        <rFont val="Calibri"/>
        <b/>
        <color theme="1"/>
        <sz val="9.0"/>
      </rPr>
      <t>28 Okt 25 11rit</t>
    </r>
  </si>
  <si>
    <t>31,04 jadi 30,36 selisih 680kg</t>
  </si>
  <si>
    <t>BJ01</t>
  </si>
  <si>
    <t>REMBANG - JATENG</t>
  </si>
  <si>
    <t>Pelunasan Truk</t>
  </si>
  <si>
    <t>BI Fast</t>
  </si>
  <si>
    <t>Potong 5 jt dari 85 jt, 50 jt Richi Alfiah , 50 jt Mas Dhian</t>
  </si>
  <si>
    <t>BF24</t>
  </si>
  <si>
    <t>Ring Velg</t>
  </si>
  <si>
    <r>
      <t xml:space="preserve">Sudah dibayar </t>
    </r>
    <r>
      <rPr>
        <rFont val="Calibri"/>
        <b/>
        <color theme="1"/>
        <sz val="9.0"/>
      </rPr>
      <t>28 Okt 25 12rit</t>
    </r>
  </si>
  <si>
    <t>Temen Mas Yono</t>
  </si>
  <si>
    <t>Pecah Ring</t>
  </si>
  <si>
    <t>Sudah dibayar 27 Okt 25</t>
  </si>
  <si>
    <t>SAMPANG</t>
  </si>
  <si>
    <t>DJ37</t>
  </si>
  <si>
    <r>
      <t xml:space="preserve">Sudah dibayar </t>
    </r>
    <r>
      <rPr>
        <rFont val="Calibri"/>
        <b/>
        <color theme="1"/>
        <sz val="9.0"/>
      </rPr>
      <t>28 Okt 25 11rit</t>
    </r>
  </si>
  <si>
    <t>SAMPANG - MADURA</t>
  </si>
  <si>
    <t>Pembayaran Kasbon mas Rul ke 1 100.000</t>
  </si>
  <si>
    <t>Torsi Baut</t>
  </si>
  <si>
    <t>Berdikari Tuban</t>
  </si>
  <si>
    <t>BF09</t>
  </si>
  <si>
    <t>Cek Angin</t>
  </si>
  <si>
    <t>Semprot Radiator</t>
  </si>
  <si>
    <t>UJ Normal 1.950</t>
  </si>
  <si>
    <t>Service Radiator + Bongkar Pasang</t>
  </si>
  <si>
    <r>
      <t xml:space="preserve">Sudah dibayar </t>
    </r>
    <r>
      <rPr>
        <rFont val="Calibri"/>
        <b/>
        <color theme="1"/>
        <sz val="9.0"/>
      </rPr>
      <t>28 Okt 25 11rit</t>
    </r>
  </si>
  <si>
    <t>Rembang</t>
  </si>
  <si>
    <r>
      <rPr>
        <rFont val="Calibri"/>
        <b/>
        <color theme="1"/>
        <sz val="9.0"/>
      </rPr>
      <t>28 Okt 25</t>
    </r>
    <r>
      <rPr>
        <rFont val="Calibri"/>
        <color theme="1"/>
        <sz val="9.0"/>
      </rPr>
      <t xml:space="preserve"> Mas Mawan 800.000, 33,46 jadi 33,37 selisih 80kg, Pembayaran Kasbon mas Rul ke 2 100.000</t>
    </r>
  </si>
  <si>
    <t>Water Outlet Hino 260 TI</t>
  </si>
  <si>
    <r>
      <t xml:space="preserve">Sudah dibayar </t>
    </r>
    <r>
      <rPr>
        <rFont val="Calibri"/>
        <b/>
        <color theme="1"/>
        <sz val="9.0"/>
      </rPr>
      <t>28 Okt 25 12rit</t>
    </r>
  </si>
  <si>
    <t xml:space="preserve">Silicon </t>
  </si>
  <si>
    <t>28 Okt 25 Mas Mawan 1.200.000 (12rit), Kasbon mas Mawan 2juta lunas (8rit hijau), Selisih 160kg, 33.12 jadi 32.96</t>
  </si>
  <si>
    <t>BF11</t>
  </si>
  <si>
    <t xml:space="preserve">Coolant Hikari 5 liter </t>
  </si>
  <si>
    <t>2 galon</t>
  </si>
  <si>
    <t>Seal Rem Depan</t>
  </si>
  <si>
    <r>
      <t>Sudah dibayar 5</t>
    </r>
    <r>
      <rPr>
        <rFont val="Calibri"/>
        <b/>
        <color theme="1"/>
        <sz val="9.0"/>
      </rPr>
      <t xml:space="preserve"> Nov 25 3rit</t>
    </r>
  </si>
  <si>
    <t>BF13</t>
  </si>
  <si>
    <t>GENUK</t>
  </si>
  <si>
    <t>29,30 jadi 29,26 selisih 40kg</t>
  </si>
  <si>
    <t>Stempet Cobra</t>
  </si>
  <si>
    <t>Pipa Rem</t>
  </si>
  <si>
    <t>2 meter</t>
  </si>
  <si>
    <t>BF14</t>
  </si>
  <si>
    <t>Minyak Rem Jumbo</t>
  </si>
  <si>
    <t>TUGU - SEMARANG</t>
  </si>
  <si>
    <t xml:space="preserve">Jasa Ganti Seal Gardan </t>
  </si>
  <si>
    <t>Part Sudah Beli Sebelumnya &amp; Terdata</t>
  </si>
  <si>
    <t>BF17</t>
  </si>
  <si>
    <t>KLEPU</t>
  </si>
  <si>
    <t>Jasa Ganti Seal Rem Depan</t>
  </si>
  <si>
    <r>
      <t>Sudah dibayar 5</t>
    </r>
    <r>
      <rPr>
        <rFont val="Calibri"/>
        <b/>
        <color theme="1"/>
        <sz val="9.0"/>
      </rPr>
      <t xml:space="preserve"> Nov 25 3rit</t>
    </r>
  </si>
  <si>
    <r>
      <t>Sudah dibayar 5</t>
    </r>
    <r>
      <rPr>
        <rFont val="Calibri"/>
        <b/>
        <color theme="1"/>
        <sz val="9.0"/>
      </rPr>
      <t xml:space="preserve"> Nov 25 3rit</t>
    </r>
  </si>
  <si>
    <t>Jasa Cek Bearing Nambah Grease, Ganti Water Outlet, Las Pipa Rem, Stel Rem, Bongkar Pasang Pipa Rem</t>
  </si>
  <si>
    <r>
      <rPr>
        <rFont val="Calibri"/>
        <b/>
        <color theme="1"/>
        <sz val="9.0"/>
      </rPr>
      <t>31.38 jadi 30.83, selisih 550kg</t>
    </r>
    <r>
      <rPr>
        <rFont val="Calibri"/>
        <color theme="1"/>
        <sz val="9.0"/>
      </rPr>
      <t>, Pembayaran Kasbon mas Rul ke 3 50.000</t>
    </r>
  </si>
  <si>
    <t>5 Nov 25 Mas Mawan 300.000 (3rit), Cicilan Mawan 600rb lunas (3rit hijau)</t>
  </si>
  <si>
    <t>Jasa Gojek Barang</t>
  </si>
  <si>
    <t>BF19</t>
  </si>
  <si>
    <t>BAWEN</t>
  </si>
  <si>
    <t xml:space="preserve">Las Ganjal Per Roda Kanan Belakang </t>
  </si>
  <si>
    <t>Per renggang</t>
  </si>
  <si>
    <t>Pasang Lepas Thermostat</t>
  </si>
  <si>
    <t>Pak Andri Bojonegoro</t>
  </si>
  <si>
    <t>Uji Coba Thermostat</t>
  </si>
  <si>
    <t>SERANG</t>
  </si>
  <si>
    <t>AB23</t>
  </si>
  <si>
    <t>DG01</t>
  </si>
  <si>
    <t>Meditran SX 10 Liter</t>
  </si>
  <si>
    <t>Km 6000</t>
  </si>
  <si>
    <t>Meditran SX 4 liter</t>
  </si>
  <si>
    <t>DG02</t>
  </si>
  <si>
    <t>4 liter oli mesin dipakai Hori</t>
  </si>
  <si>
    <t>KRIAN SIDOARJO</t>
  </si>
  <si>
    <t>Filter Oli MesinHOP</t>
  </si>
  <si>
    <r>
      <t>Sudah dibayar 5</t>
    </r>
    <r>
      <rPr>
        <rFont val="Calibri"/>
        <b/>
        <color theme="1"/>
        <sz val="9.0"/>
      </rPr>
      <t xml:space="preserve"> Nov 25 3rit</t>
    </r>
  </si>
  <si>
    <t xml:space="preserve">Filter Solar Atas &amp; Bawah </t>
  </si>
  <si>
    <r>
      <t>Sudah dibayar 5</t>
    </r>
    <r>
      <rPr>
        <rFont val="Calibri"/>
        <b/>
        <color theme="1"/>
        <sz val="9.0"/>
      </rPr>
      <t xml:space="preserve"> Nov 25 3rit</t>
    </r>
  </si>
  <si>
    <r>
      <rPr>
        <rFont val="Calibri"/>
        <b/>
        <color theme="1"/>
        <sz val="9.0"/>
      </rPr>
      <t>5 Nov 25</t>
    </r>
    <r>
      <rPr>
        <rFont val="Calibri"/>
        <color theme="1"/>
        <sz val="9.0"/>
      </rPr>
      <t xml:space="preserve"> Mas Mawan 300.000 (3rit), Cicilan Mawan 600rb lunas (3rit putih) </t>
    </r>
    <r>
      <rPr>
        <rFont val="Calibri"/>
        <b/>
        <color theme="1"/>
        <sz val="9.0"/>
      </rPr>
      <t>Lunas</t>
    </r>
    <r>
      <rPr>
        <rFont val="Calibri"/>
        <color theme="1"/>
        <sz val="9.0"/>
      </rPr>
      <t xml:space="preserve">. </t>
    </r>
    <r>
      <rPr>
        <rFont val="Calibri"/>
        <b/>
        <color theme="1"/>
        <sz val="9.0"/>
      </rPr>
      <t>31.8 jadi 31.37, selisih 430kg</t>
    </r>
    <r>
      <rPr>
        <rFont val="Calibri"/>
        <color theme="1"/>
        <sz val="9.0"/>
      </rPr>
      <t>, Pembayaran Kasbon mas Rul ke 4 50.000</t>
    </r>
  </si>
  <si>
    <t>DG04</t>
  </si>
  <si>
    <t>PRAMBON SIDOARJO</t>
  </si>
  <si>
    <t>Jasa Kirim</t>
  </si>
  <si>
    <t xml:space="preserve">Filter Solar Bawah </t>
  </si>
  <si>
    <t>DG03</t>
  </si>
  <si>
    <t>Tuban Mas Yono</t>
  </si>
  <si>
    <t>WARU</t>
  </si>
  <si>
    <t>Sopir Butuh Uang Perbaikkan, 23 Sep 25 pakai 1</t>
  </si>
  <si>
    <t xml:space="preserve">Air Cuci Truk </t>
  </si>
  <si>
    <t>H.Mudjianto Tuban</t>
  </si>
  <si>
    <t>DG05</t>
  </si>
  <si>
    <t>BALONGBENDO</t>
  </si>
  <si>
    <t>Jasa Cuci</t>
  </si>
  <si>
    <r>
      <t xml:space="preserve">Sudah dibayar </t>
    </r>
    <r>
      <rPr>
        <rFont val="Calibri"/>
        <b/>
        <color theme="1"/>
        <sz val="9.0"/>
      </rPr>
      <t>14 Nov 25 4rit</t>
    </r>
  </si>
  <si>
    <t>DG08</t>
  </si>
  <si>
    <t>GPS Inova Track (SBI) 1/12</t>
  </si>
  <si>
    <t>TUNGGULANGIN</t>
  </si>
  <si>
    <t>Pembayaran Kasbon mas Rul ke 5 100.000, mas Mawan kasbon 600.000, tonase dibawah 30</t>
  </si>
  <si>
    <t>STNK 2/12</t>
  </si>
  <si>
    <t>Sudah dibayar 11 Nov 25</t>
  </si>
  <si>
    <t>DI05</t>
  </si>
  <si>
    <t>BANYUPUTIH SITUBONDO</t>
  </si>
  <si>
    <r>
      <t>Sudah dibayar 5</t>
    </r>
    <r>
      <rPr>
        <rFont val="Calibri"/>
        <b/>
        <color theme="1"/>
        <sz val="9.0"/>
      </rPr>
      <t xml:space="preserve"> Nov 25 3rit</t>
    </r>
  </si>
  <si>
    <t>Ganti Oli Mesin, Filter Oli, Filter Solar Atas Bawah, Semprot Rem, Silicon kaca</t>
  </si>
  <si>
    <t>Lebih 540kg, 30.84 jadi 31,38</t>
  </si>
  <si>
    <t>Cover Angin Depan Belakang</t>
  </si>
  <si>
    <t>DI01</t>
  </si>
  <si>
    <t xml:space="preserve">Perbaikkan Compressor Hori Pecah Cover </t>
  </si>
  <si>
    <t>Areng Hori 1 set</t>
  </si>
  <si>
    <t>5 pcs</t>
  </si>
  <si>
    <t>4 liter oli mesin</t>
  </si>
  <si>
    <t>CA11</t>
  </si>
  <si>
    <t>Bearing 6208</t>
  </si>
  <si>
    <t>KALASAN</t>
  </si>
  <si>
    <r>
      <t xml:space="preserve">Sudah dibayar </t>
    </r>
    <r>
      <rPr>
        <rFont val="Calibri"/>
        <b/>
        <color theme="1"/>
        <sz val="9.0"/>
      </rPr>
      <t>14 Nov 25 4rit</t>
    </r>
  </si>
  <si>
    <r>
      <rPr>
        <rFont val="Calibri"/>
        <b/>
        <color theme="1"/>
        <sz val="9.0"/>
      </rPr>
      <t>31.26 jadi 31.24 selisih 20kg</t>
    </r>
    <r>
      <rPr>
        <rFont val="Calibri"/>
        <color theme="1"/>
        <sz val="9.0"/>
      </rPr>
      <t>, Pembayaran Kasbon mas Rul ke 6 100.000</t>
    </r>
  </si>
  <si>
    <t>Seal Oil Angin TC55-70-9</t>
  </si>
  <si>
    <t>Cross Joint PTO GOM 88</t>
  </si>
  <si>
    <r>
      <t xml:space="preserve">Sudah dibayar 14 </t>
    </r>
    <r>
      <rPr>
        <rFont val="Calibri"/>
        <b/>
        <color theme="1"/>
        <sz val="9.0"/>
      </rPr>
      <t>Nov 25 2rit</t>
    </r>
  </si>
  <si>
    <t xml:space="preserve">Jasa Perbaikkan </t>
  </si>
  <si>
    <t>CA15</t>
  </si>
  <si>
    <r>
      <rPr>
        <rFont val="Calibri"/>
        <b/>
        <color theme="1"/>
        <sz val="9.0"/>
      </rPr>
      <t>Selisih 40kg, 33.34 jadi 33.3</t>
    </r>
    <r>
      <rPr>
        <rFont val="Calibri"/>
        <color theme="1"/>
        <sz val="9.0"/>
      </rPr>
      <t>. Mas Mawan Kasbon 600.000</t>
    </r>
  </si>
  <si>
    <t>Bongkar Pasang Per Babok Belakang 154cm</t>
  </si>
  <si>
    <t>Per Babok Bawah Patah</t>
  </si>
  <si>
    <t>CA12</t>
  </si>
  <si>
    <t>PRAMBANAN</t>
  </si>
  <si>
    <t>Las &amp; Repair Pangkon Selang Gajah</t>
  </si>
  <si>
    <t xml:space="preserve">Segel selang putus terus, dimundurkan </t>
  </si>
  <si>
    <t>Las + Napel Velg Retak</t>
  </si>
  <si>
    <t>CA52</t>
  </si>
  <si>
    <t>MLATI</t>
  </si>
  <si>
    <t>Sudah dibayar 18 Nov 25</t>
  </si>
  <si>
    <t>Velg Retak</t>
  </si>
  <si>
    <t>Baut Roda Belakang Kanan</t>
  </si>
  <si>
    <r>
      <t xml:space="preserve">Sudah dibayar 14 </t>
    </r>
    <r>
      <rPr>
        <rFont val="Calibri"/>
        <b/>
        <color theme="1"/>
        <sz val="9.0"/>
      </rPr>
      <t>Nov 25 2rit</t>
    </r>
  </si>
  <si>
    <t xml:space="preserve">Adi Jaya Ban Tuban </t>
  </si>
  <si>
    <t>Baut Roda Patah</t>
  </si>
  <si>
    <t>Mas Mawan Lunas (2rit putih, 4rit hijau)</t>
  </si>
  <si>
    <r>
      <t xml:space="preserve">Sudah dibayar </t>
    </r>
    <r>
      <rPr>
        <rFont val="Calibri"/>
        <b/>
        <color theme="1"/>
        <sz val="9.0"/>
      </rPr>
      <t>14 Nov 25 4rit</t>
    </r>
  </si>
  <si>
    <t>Jasa Bongkar Pasang Baut Roda</t>
  </si>
  <si>
    <t>CA47</t>
  </si>
  <si>
    <r>
      <rPr>
        <rFont val="Calibri"/>
        <b/>
        <color theme="1"/>
        <sz val="9.0"/>
      </rPr>
      <t>33.66 jadi 31.65 selisih 10kg</t>
    </r>
    <r>
      <rPr>
        <rFont val="Calibri"/>
        <color theme="1"/>
        <sz val="9.0"/>
      </rPr>
      <t>, Pembayaran Kasbon mas Rul ke 7 100.000</t>
    </r>
  </si>
  <si>
    <t>Jasa Tukar Velg</t>
  </si>
  <si>
    <t>Las Pengaman Samping Belakang (Plat Siku)</t>
  </si>
  <si>
    <t>BI39</t>
  </si>
  <si>
    <t>Pati</t>
  </si>
  <si>
    <t>SAMBUNG MACAN</t>
  </si>
  <si>
    <t>Las Lepas</t>
  </si>
  <si>
    <t>GPS Easygo (SI) 2/12</t>
  </si>
  <si>
    <t>Stempet Rotari</t>
  </si>
  <si>
    <t>BI08</t>
  </si>
  <si>
    <t>GEMOLONG</t>
  </si>
  <si>
    <t>Seal Tromol Depan</t>
  </si>
  <si>
    <r>
      <t xml:space="preserve">Sudah dibayar </t>
    </r>
    <r>
      <rPr>
        <rFont val="Calibri"/>
        <b/>
        <color theme="1"/>
        <sz val="9.0"/>
      </rPr>
      <t>25 Nov 25 3rit</t>
    </r>
  </si>
  <si>
    <t>Lebih 80kg, 34.22 jadi 34.3</t>
  </si>
  <si>
    <t>1 liter</t>
  </si>
  <si>
    <t>Sudah dibayar 19 Nov 25</t>
  </si>
  <si>
    <t>BI36</t>
  </si>
  <si>
    <r>
      <t xml:space="preserve">Sudah dibayar </t>
    </r>
    <r>
      <rPr>
        <rFont val="Calibri"/>
        <b/>
        <color theme="1"/>
        <sz val="9.0"/>
      </rPr>
      <t>14 Nov 25 4rit</t>
    </r>
  </si>
  <si>
    <t>Jasa Bongkar Pasang Seal Rem</t>
  </si>
  <si>
    <r>
      <t xml:space="preserve">31,18 jadi 31,29 lebih 110kg. Mas Mawan Lunas (4rit hijau, 2rit putih), </t>
    </r>
    <r>
      <rPr>
        <rFont val="Calibri"/>
        <b val="0"/>
        <color theme="1"/>
        <sz val="9.0"/>
      </rPr>
      <t>Pembayaran Kasbon mas Rul ke 8 100.000</t>
    </r>
  </si>
  <si>
    <t>STEL Rem + Hand Rem</t>
  </si>
  <si>
    <t>BI38</t>
  </si>
  <si>
    <t>Las Baut Wheel Dop</t>
  </si>
  <si>
    <t>NGRAMPAL</t>
  </si>
  <si>
    <t>Semprot Filter Udara</t>
  </si>
  <si>
    <t>BI70</t>
  </si>
  <si>
    <t>MASARAN</t>
  </si>
  <si>
    <t>Sudah dibayar 24 Nov 25</t>
  </si>
  <si>
    <r>
      <t xml:space="preserve">Sudah dibayar </t>
    </r>
    <r>
      <rPr>
        <rFont val="Calibri"/>
        <b/>
        <color theme="1"/>
        <sz val="9.0"/>
      </rPr>
      <t>25 Nov 25 3rit</t>
    </r>
  </si>
  <si>
    <t>Kontrol Ban</t>
  </si>
  <si>
    <t>Kurang 260kg, 32.74 jadi 32.48</t>
  </si>
  <si>
    <t>BI73</t>
  </si>
  <si>
    <t>TANON</t>
  </si>
  <si>
    <t>BI18</t>
  </si>
  <si>
    <t>Sudah dibayar 1 Des 25</t>
  </si>
  <si>
    <t>Baut Roda Belakang Kiri</t>
  </si>
  <si>
    <r>
      <t xml:space="preserve">Sudah dibayar </t>
    </r>
    <r>
      <rPr>
        <rFont val="Calibri"/>
        <b/>
        <color theme="1"/>
        <sz val="9.0"/>
      </rPr>
      <t>25 Nov 25 3rit</t>
    </r>
  </si>
  <si>
    <t>Lebih 20kg, 34.5 jadi 34.52, 25 Nov 25 Mas Mawan 3 rit (3 rit hijau)</t>
  </si>
  <si>
    <r>
      <t xml:space="preserve">Sudah dibayar </t>
    </r>
    <r>
      <rPr>
        <rFont val="Calibri"/>
        <b/>
        <color theme="1"/>
        <sz val="9.0"/>
      </rPr>
      <t>25 Nov 25 3rit</t>
    </r>
  </si>
  <si>
    <t>Gio Ban Sragen</t>
  </si>
  <si>
    <t>Patah baut roda belakang kiri 8 pcs</t>
  </si>
  <si>
    <t>Impact Roda Kiri Depan Belakang+Bongkar Pasang Ganti Baut</t>
  </si>
  <si>
    <t>SUMENEP</t>
  </si>
  <si>
    <t>DJ50</t>
  </si>
  <si>
    <t>Las Untuk Lepas Baut Roda Kiri</t>
  </si>
  <si>
    <t>6 pcs</t>
  </si>
  <si>
    <t>Impact Kontrol Roda Kanan Depan Belakang</t>
  </si>
  <si>
    <t>DG11</t>
  </si>
  <si>
    <t xml:space="preserve">Baut Roda Hino Belakang Kiri </t>
  </si>
  <si>
    <t>Sragen</t>
  </si>
  <si>
    <t>Toko</t>
  </si>
  <si>
    <t>UJ Fix 1599999,99579644</t>
  </si>
  <si>
    <t>Tips Mas Yono</t>
  </si>
  <si>
    <r>
      <t xml:space="preserve">Sudah dibayar </t>
    </r>
    <r>
      <rPr>
        <rFont val="Calibri"/>
        <b/>
        <color theme="1"/>
        <sz val="9.0"/>
      </rPr>
      <t>13 Des 25 5rit</t>
    </r>
  </si>
  <si>
    <t>DG18</t>
  </si>
  <si>
    <t>STNK 3/12</t>
  </si>
  <si>
    <t>SUKOLILO</t>
  </si>
  <si>
    <t>GPS Easygo (SI) 3/12</t>
  </si>
  <si>
    <r>
      <t xml:space="preserve">Sudah dibayar </t>
    </r>
    <r>
      <rPr>
        <rFont val="Calibri"/>
        <b/>
        <color theme="1"/>
        <sz val="9.0"/>
      </rPr>
      <t>25 Nov 25 3rit</t>
    </r>
  </si>
  <si>
    <r>
      <t xml:space="preserve"> </t>
    </r>
    <r>
      <rPr>
        <rFont val="Calibri"/>
        <b/>
        <color theme="1"/>
        <sz val="9.0"/>
      </rPr>
      <t>33.26 jadi 32.95, selisih 310kg</t>
    </r>
  </si>
  <si>
    <t>DG37</t>
  </si>
  <si>
    <t>BENOWO</t>
  </si>
  <si>
    <t>Stok kanan 3</t>
  </si>
  <si>
    <t>Stok kiri 3 (dipinjam 2)</t>
  </si>
  <si>
    <t>Sudah dibayar 8 Des 25</t>
  </si>
  <si>
    <t>DG43</t>
  </si>
  <si>
    <r>
      <t xml:space="preserve">Sudah dibayar </t>
    </r>
    <r>
      <rPr>
        <rFont val="Calibri"/>
        <b/>
        <color theme="1"/>
        <sz val="9.0"/>
      </rPr>
      <t>13 Des 25 5rit</t>
    </r>
  </si>
  <si>
    <t>MULYOREJO</t>
  </si>
  <si>
    <t>Kurang 220kg, 32.82 jadi 32.60</t>
  </si>
  <si>
    <t>Tukang Cuci HCL</t>
  </si>
  <si>
    <t>Sudah dibayar 2 Des 25</t>
  </si>
  <si>
    <r>
      <t xml:space="preserve">Sudah dibayar </t>
    </r>
    <r>
      <rPr>
        <rFont val="Calibri"/>
        <b/>
        <color theme="1"/>
        <sz val="9.0"/>
      </rPr>
      <t>25 Nov 25 3rit</t>
    </r>
  </si>
  <si>
    <t>Bushing Stang Perseneling Atas</t>
  </si>
  <si>
    <r>
      <rPr>
        <rFont val="Calibri"/>
        <b/>
        <color theme="1"/>
        <sz val="9.0"/>
      </rPr>
      <t>31.72 jadi 31.43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selisih 290kg</t>
    </r>
    <r>
      <rPr>
        <rFont val="Calibri"/>
        <color theme="1"/>
        <sz val="9.0"/>
      </rPr>
      <t xml:space="preserve">, Pembayaran Kasbon mas Rul ke 9 100.000, </t>
    </r>
    <r>
      <rPr>
        <rFont val="Calibri"/>
        <b/>
        <color theme="1"/>
        <sz val="9.0"/>
      </rPr>
      <t>25 Nov 25</t>
    </r>
    <r>
      <rPr>
        <rFont val="Calibri"/>
        <color theme="1"/>
        <sz val="9.0"/>
      </rPr>
      <t xml:space="preserve"> Mas Mawan 3 rit (3 rit putih, 3 rit hijau)</t>
    </r>
  </si>
  <si>
    <t xml:space="preserve">1 set </t>
  </si>
  <si>
    <t>DG44</t>
  </si>
  <si>
    <t>RUNGKUT</t>
  </si>
  <si>
    <t>Lancar Jaya Jenu</t>
  </si>
  <si>
    <t>Kabel Gas</t>
  </si>
  <si>
    <t xml:space="preserve">Kabel Handle Perseneling </t>
  </si>
  <si>
    <t>SURAKARTA</t>
  </si>
  <si>
    <t>BI12</t>
  </si>
  <si>
    <r>
      <t xml:space="preserve">Sudah dibayar </t>
    </r>
    <r>
      <rPr>
        <rFont val="Calibri"/>
        <b/>
        <color theme="1"/>
        <sz val="9.0"/>
      </rPr>
      <t>13 Des 25 5rit</t>
    </r>
  </si>
  <si>
    <t>Bongkar Pasang Bushing Perseneling</t>
  </si>
  <si>
    <t>Kurang 100kg, 33.14 jadi 33.04</t>
  </si>
  <si>
    <t>Ganti Kabel Gas</t>
  </si>
  <si>
    <t>Ganti Kabel Handel Perseneling</t>
  </si>
  <si>
    <t>TANGERANG</t>
  </si>
  <si>
    <t>AB01</t>
  </si>
  <si>
    <t>Las+Plug Chassis Tangki Belakang Kanan Kiri</t>
  </si>
  <si>
    <t>Tangki Retak</t>
  </si>
  <si>
    <t>Jasa+Ganti Baut Kawel Chassis Tangki</t>
  </si>
  <si>
    <t xml:space="preserve">4 pcs </t>
  </si>
  <si>
    <r>
      <t xml:space="preserve">Sudah dibayar </t>
    </r>
    <r>
      <rPr>
        <rFont val="Calibri"/>
        <b/>
        <color theme="1"/>
        <sz val="9.0"/>
      </rPr>
      <t>13 Des 25 5rit</t>
    </r>
  </si>
  <si>
    <r>
      <t xml:space="preserve"> </t>
    </r>
    <r>
      <rPr>
        <rFont val="Calibri"/>
        <b/>
        <color theme="1"/>
        <sz val="9.0"/>
      </rPr>
      <t>30.50 jadi 30.11, selisih 390kg</t>
    </r>
    <r>
      <rPr>
        <rFont val="Calibri"/>
        <color theme="1"/>
        <sz val="9.0"/>
      </rPr>
      <t>, Pembayaran Kasbon mas Rul ke 10 100.000</t>
    </r>
  </si>
  <si>
    <t xml:space="preserve">Doorlock kanan </t>
  </si>
  <si>
    <r>
      <t xml:space="preserve">Sudah dibayar </t>
    </r>
    <r>
      <rPr>
        <rFont val="Calibri"/>
        <b/>
        <color theme="1"/>
        <sz val="9.0"/>
      </rPr>
      <t>13 Des 25 5rit</t>
    </r>
  </si>
  <si>
    <t xml:space="preserve">Pintu Rusak Tidak Bisa Dikunci </t>
  </si>
  <si>
    <t>Kunci Pintu</t>
  </si>
  <si>
    <t>1 set</t>
  </si>
  <si>
    <t>TEGAL</t>
  </si>
  <si>
    <t>BA19</t>
  </si>
  <si>
    <t>Regulator Kaca Kanan</t>
  </si>
  <si>
    <t xml:space="preserve">1 pcs </t>
  </si>
  <si>
    <t xml:space="preserve">Belum terpasang </t>
  </si>
  <si>
    <t>Ongkos Kirim</t>
  </si>
  <si>
    <t>Kaca Jendela Kendor</t>
  </si>
  <si>
    <t>Storing Perbaikan Pintu Kanan</t>
  </si>
  <si>
    <t>TRENGGALEK</t>
  </si>
  <si>
    <t>DD27</t>
  </si>
  <si>
    <t>Tips Mbah Datuk</t>
  </si>
  <si>
    <r>
      <t xml:space="preserve">Sudah dibayar </t>
    </r>
    <r>
      <rPr>
        <rFont val="Calibri"/>
        <b/>
        <color theme="1"/>
        <sz val="9.0"/>
      </rPr>
      <t>13 Des 25 5rit</t>
    </r>
  </si>
  <si>
    <r>
      <rPr>
        <rFont val="Calibri"/>
        <b/>
        <color theme="1"/>
        <sz val="9.0"/>
      </rPr>
      <t>13 Des 25</t>
    </r>
    <r>
      <rPr>
        <rFont val="Calibri"/>
        <color theme="1"/>
        <sz val="9.0"/>
      </rPr>
      <t xml:space="preserve"> Mas Mawan 10 rit (5 rit putih,5 rit hijau)</t>
    </r>
  </si>
  <si>
    <t>Ban Kawat Bekas 1100 Depan</t>
  </si>
  <si>
    <r>
      <t xml:space="preserve">Sudah dibayar </t>
    </r>
    <r>
      <rPr>
        <rFont val="Calibri"/>
        <b/>
        <color theme="1"/>
        <sz val="9.0"/>
      </rPr>
      <t>13 Des 25 5rit</t>
    </r>
  </si>
  <si>
    <t>DD33</t>
  </si>
  <si>
    <t>Ban BS Benang Disimpan (Terjual 25 Okt 2025 2 juta - ban GITI bekas set + 1.100.000)</t>
  </si>
  <si>
    <t>Ban Kanan Benang GT Boncel Terjual</t>
  </si>
  <si>
    <t>DD40</t>
  </si>
  <si>
    <t>NGUNUT</t>
  </si>
  <si>
    <t>Oper Ban</t>
  </si>
  <si>
    <t>DD34</t>
  </si>
  <si>
    <t>NGANTRU</t>
  </si>
  <si>
    <r>
      <t xml:space="preserve">Sudah dibayar </t>
    </r>
    <r>
      <rPr>
        <rFont val="Calibri"/>
        <b/>
        <color theme="1"/>
        <sz val="9.0"/>
      </rPr>
      <t>20 Des 25 5rit</t>
    </r>
  </si>
  <si>
    <t>BI52</t>
  </si>
  <si>
    <t>GIRIWOYO</t>
  </si>
  <si>
    <t>GPS Inova Track (SBI) 2/12</t>
  </si>
  <si>
    <r>
      <t xml:space="preserve">Sudah dibayar </t>
    </r>
    <r>
      <rPr>
        <rFont val="Calibri"/>
        <b/>
        <color theme="1"/>
        <sz val="9.0"/>
      </rPr>
      <t>13 Des 25 5rit</t>
    </r>
  </si>
  <si>
    <t>35.98 jadi 35.86 selisih 120kg</t>
  </si>
  <si>
    <t>BI58</t>
  </si>
  <si>
    <t xml:space="preserve">Seal Rem Belakang </t>
  </si>
  <si>
    <t>PURWANTORO - WONOGIR</t>
  </si>
  <si>
    <t>BI60</t>
  </si>
  <si>
    <t>NGUNTORONADI</t>
  </si>
  <si>
    <t>Seal Tromol Belakang</t>
  </si>
  <si>
    <t xml:space="preserve">Minyak Rek Jumbo </t>
  </si>
  <si>
    <r>
      <t xml:space="preserve">Sudah dibayar </t>
    </r>
    <r>
      <rPr>
        <rFont val="Calibri"/>
        <b/>
        <color theme="1"/>
        <sz val="9.0"/>
      </rPr>
      <t>20 Des 25 5rit</t>
    </r>
  </si>
  <si>
    <t>WONOSOBO</t>
  </si>
  <si>
    <t>BD25</t>
  </si>
  <si>
    <r>
      <rPr>
        <rFont val="Calibri"/>
        <b/>
        <color theme="1"/>
        <sz val="9.0"/>
      </rPr>
      <t>20 Des 25</t>
    </r>
    <r>
      <rPr>
        <rFont val="Calibri"/>
        <color theme="1"/>
        <sz val="9.0"/>
      </rPr>
      <t xml:space="preserve"> Mas Mawan 4 rit (2 rit putih, 2 rit hijau)</t>
    </r>
  </si>
  <si>
    <t>Sudah dibayar 12 Des 25</t>
  </si>
  <si>
    <r>
      <t xml:space="preserve">Sudah dibayar </t>
    </r>
    <r>
      <rPr>
        <rFont val="Calibri"/>
        <b/>
        <color theme="1"/>
        <sz val="9.0"/>
      </rPr>
      <t>13 Des 25 5rit</t>
    </r>
  </si>
  <si>
    <t>33,72 jadi 33.30 selisih 420kg</t>
  </si>
  <si>
    <t>Setel Rem+Vet</t>
  </si>
  <si>
    <t>Jasa Ganti Seal Rem Belakang Engkel+Packing+Tutup Tromo Depan</t>
  </si>
  <si>
    <t>CA09</t>
  </si>
  <si>
    <t>Bongkar Pasang+Nambal Ban Depan Kanan</t>
  </si>
  <si>
    <t>Sumber Nafkah Demak</t>
  </si>
  <si>
    <t>Bocor Kanan depan, ban dalam melipat</t>
  </si>
  <si>
    <t>Marset Ori Bekas</t>
  </si>
  <si>
    <t xml:space="preserve">Bocor, Double Marset </t>
  </si>
  <si>
    <t>Setting Klep</t>
  </si>
  <si>
    <t>Sudah dibayar 28 Des 25</t>
  </si>
  <si>
    <t xml:space="preserve">Temen Mas Yono </t>
  </si>
  <si>
    <t xml:space="preserve">Bongkar Pasang Ban Depan Kanan </t>
  </si>
  <si>
    <r>
      <t xml:space="preserve">Sudah dibayar </t>
    </r>
    <r>
      <rPr>
        <rFont val="Calibri"/>
        <b/>
        <color theme="1"/>
        <sz val="9.0"/>
      </rPr>
      <t>30 Des 25 2rit</t>
    </r>
  </si>
  <si>
    <r>
      <t xml:space="preserve">Sudah dibayar </t>
    </r>
    <r>
      <rPr>
        <rFont val="Calibri"/>
        <b/>
        <color theme="1"/>
        <sz val="9.0"/>
      </rPr>
      <t>13 Des 25 5rit</t>
    </r>
  </si>
  <si>
    <t>32.62 jadi 32.56 selisih 60kg, 13 Des 25 Mas Mawan 10 rit (5 rit putih, 5 rit hijau), salah UJ 50rb</t>
  </si>
  <si>
    <t>SIS Tambal Ban Rembang</t>
  </si>
  <si>
    <t>Double Marset</t>
  </si>
  <si>
    <t>Kurang 230kg, 34.4 jadi 34.17</t>
  </si>
  <si>
    <t>Box Bekas</t>
  </si>
  <si>
    <t>Las &amp; Baut BoX</t>
  </si>
  <si>
    <t>Sudah dibayar 20 Des 25</t>
  </si>
  <si>
    <t>Mbah Man Pengurus SILOG</t>
  </si>
  <si>
    <r>
      <t xml:space="preserve">Sudah dibayar </t>
    </r>
    <r>
      <rPr>
        <rFont val="Calibri"/>
        <b/>
        <color theme="1"/>
        <sz val="9.0"/>
      </rPr>
      <t>20 Des 25 5rit</t>
    </r>
  </si>
  <si>
    <t>33.5 jadi 33.2 selisih 300kg</t>
  </si>
  <si>
    <t>SILOG</t>
  </si>
  <si>
    <t xml:space="preserve">Perbulan tiap tanggal 25 </t>
  </si>
  <si>
    <t>Talang Air</t>
  </si>
  <si>
    <t>1 Set</t>
  </si>
  <si>
    <t>Dongkrak Bekas 50 Ton</t>
  </si>
  <si>
    <r>
      <t xml:space="preserve">Sudah dibayar </t>
    </r>
    <r>
      <rPr>
        <rFont val="Calibri"/>
        <b/>
        <color theme="1"/>
        <sz val="9.0"/>
      </rPr>
      <t>30 Des 25 2rit</t>
    </r>
  </si>
  <si>
    <r>
      <rPr>
        <rFont val="Calibri"/>
        <b/>
        <color theme="1"/>
        <sz val="9.0"/>
      </rPr>
      <t>30 Des 25</t>
    </r>
    <r>
      <rPr>
        <rFont val="Calibri"/>
        <color theme="1"/>
        <sz val="9.0"/>
      </rPr>
      <t xml:space="preserve"> Mas Mawan 4 rit (2rit putih, 2 rit hijau)</t>
    </r>
  </si>
  <si>
    <t xml:space="preserve">Temen Mas Khoirul </t>
  </si>
  <si>
    <t>Kunci Roda 100.000</t>
  </si>
  <si>
    <t xml:space="preserve">Bu Asiyah Tambakboyo </t>
  </si>
  <si>
    <r>
      <t xml:space="preserve">Sudah dibayar </t>
    </r>
    <r>
      <rPr>
        <rFont val="Calibri"/>
        <b/>
        <color theme="1"/>
        <sz val="9.0"/>
      </rPr>
      <t>20 Des 25 5rit</t>
    </r>
  </si>
  <si>
    <t>32.2 jadi 32.16 selisih 40kg, 20 Des 25 Mas Mawan 4 rit (2rit putih, 2 rit hijau)</t>
  </si>
  <si>
    <r>
      <t xml:space="preserve">Sudah dibayar </t>
    </r>
    <r>
      <rPr>
        <rFont val="Calibri"/>
        <b/>
        <color theme="1"/>
        <sz val="9.0"/>
      </rPr>
      <t>11 Jan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4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</si>
  <si>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 xml:space="preserve">5 pcs </t>
  </si>
  <si>
    <r>
      <t xml:space="preserve">Sudah dibayar </t>
    </r>
    <r>
      <rPr>
        <rFont val="Calibri"/>
        <b/>
        <color theme="1"/>
        <sz val="9.0"/>
      </rPr>
      <t>30 Des 25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4rit</t>
    </r>
  </si>
  <si>
    <t>Lebih 50kg, 33.18 jadi 33,23</t>
  </si>
  <si>
    <t>Stok 6 kiri, dipinjam kiri 2, kanan 3, Beli tanggal 28 Sep 25</t>
  </si>
  <si>
    <t>Filter Solar Atas HOP</t>
  </si>
  <si>
    <t>Stok, Beli tanggal 30 Sep 25</t>
  </si>
  <si>
    <t>Novan Silog</t>
  </si>
  <si>
    <t>Setting tanggal 27 Sep 25</t>
  </si>
  <si>
    <t>List Kaca Film</t>
  </si>
  <si>
    <t>Variasi Mobil Parahyangan Kudus</t>
  </si>
  <si>
    <r>
      <t xml:space="preserve">Sudah dibayar </t>
    </r>
    <r>
      <rPr>
        <rFont val="Calibri"/>
        <b/>
        <color theme="1"/>
        <sz val="9.0"/>
      </rPr>
      <t>30 Des 25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4rit</t>
    </r>
  </si>
  <si>
    <t>Kaca Film depan pinggiran mengkerut</t>
  </si>
  <si>
    <t>32.2 jadi 32.09 selisih 190kg, 30 Des 25 Mas Mawan 4 rit (2rit putih, 2 rit hijau)</t>
  </si>
  <si>
    <t>Mahkota dijual</t>
  </si>
  <si>
    <t xml:space="preserve">Pakdhe mas Khoirul </t>
  </si>
  <si>
    <t>Catatan Saja</t>
  </si>
  <si>
    <t>Thule Kaki 2</t>
  </si>
  <si>
    <t>Zidan Variasi</t>
  </si>
  <si>
    <t>Catatan Saja, tambah pribadi 250.000</t>
  </si>
  <si>
    <t>Storing Kaca Depan Kanan Tidak Bisa Naik</t>
  </si>
  <si>
    <t>Sudah dibayar 2 Jan 26</t>
  </si>
  <si>
    <r>
      <t xml:space="preserve">Sudah dibayar </t>
    </r>
    <r>
      <rPr>
        <rFont val="Calibri"/>
        <b/>
        <color theme="1"/>
        <sz val="9.0"/>
      </rPr>
      <t>11 Jan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3rit</t>
    </r>
  </si>
  <si>
    <t>33.48 jadi 33.4 selisih 80kg</t>
  </si>
  <si>
    <t>STNK 4/12</t>
  </si>
  <si>
    <t>Kerucut Oranye</t>
  </si>
  <si>
    <r>
      <t xml:space="preserve">Sudah dibayar </t>
    </r>
    <r>
      <rPr>
        <rFont val="Calibri"/>
        <b/>
        <color theme="1"/>
        <sz val="9.0"/>
      </rPr>
      <t>11 Jan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4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</si>
  <si>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Baut Roda Depan Kanan</t>
  </si>
  <si>
    <t>Kurang 340kg, 32.36 jadi 32.02</t>
  </si>
  <si>
    <t>Stock depan kanan 1</t>
  </si>
  <si>
    <t>Baut Roda Depan Kiri</t>
  </si>
  <si>
    <t>Jasa Bongkar Baut Roda Belakang Kiri</t>
  </si>
  <si>
    <t xml:space="preserve">3 pcs </t>
  </si>
  <si>
    <t>Adi Jaya Ban</t>
  </si>
  <si>
    <t>Sisa Stock baut roda 3 kiri, patah 3 engkel</t>
  </si>
  <si>
    <r>
      <t xml:space="preserve">Sudah dibayar </t>
    </r>
    <r>
      <rPr>
        <rFont val="Calibri"/>
        <b/>
        <color theme="1"/>
        <sz val="9.0"/>
      </rPr>
      <t>11 Jan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3rit</t>
    </r>
  </si>
  <si>
    <t>31.4 jadi 31.32 selisih 80kg</t>
  </si>
  <si>
    <t>Jasa Bongkar Baut Roda Belakang Kanan</t>
  </si>
  <si>
    <t>Sisa Stock baut roda 1 kanan, patah 2 engkel</t>
  </si>
  <si>
    <t>Kontrol Baut Roda</t>
  </si>
  <si>
    <t>2 pasang</t>
  </si>
  <si>
    <t>Kontrol Angin Ban + Semprot Radiator +Filter Udara Mesin + Filter Udara Hori</t>
  </si>
  <si>
    <t>10 ban</t>
  </si>
  <si>
    <t>Repair/Lem Karet Manhole Atas Tangki</t>
  </si>
  <si>
    <r>
      <t xml:space="preserve">Sudah dibayar </t>
    </r>
    <r>
      <rPr>
        <rFont val="Calibri"/>
        <b/>
        <color theme="1"/>
        <sz val="9.0"/>
      </rPr>
      <t>11 Jan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3rit</t>
    </r>
  </si>
  <si>
    <r>
      <t xml:space="preserve">32.62 jadi 32.53 selisih 90kg, 11 Jan 25 </t>
    </r>
    <r>
      <rPr>
        <rFont val="Calibri"/>
        <b val="0"/>
        <color theme="1"/>
        <sz val="9.0"/>
      </rPr>
      <t xml:space="preserve">Mas Mawan </t>
    </r>
    <r>
      <rPr>
        <rFont val="Calibri"/>
        <b/>
        <color theme="1"/>
        <sz val="9.0"/>
      </rPr>
      <t>7 rit (4rit putih, 3 rit hijau)</t>
    </r>
  </si>
  <si>
    <t>Sudah dibayar 13 Jan 26</t>
  </si>
  <si>
    <t xml:space="preserve">Stel Rem </t>
  </si>
  <si>
    <r>
      <t xml:space="preserve">Sudah dibayar </t>
    </r>
    <r>
      <rPr>
        <rFont val="Calibri"/>
        <b/>
        <color theme="1"/>
        <sz val="9.0"/>
      </rPr>
      <t>11 Jan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4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</si>
  <si>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Meditran SX (Tambah Oli Mesin)</t>
  </si>
  <si>
    <t>4 liter</t>
  </si>
  <si>
    <t>Km 8000, sisa 1 liter</t>
  </si>
  <si>
    <t>Stock baut roda 8 kiri</t>
  </si>
  <si>
    <t>Stock baut roda 6 kanan</t>
  </si>
  <si>
    <t>Wiper Hybrid</t>
  </si>
  <si>
    <t>Tiktok Mas Yon</t>
  </si>
  <si>
    <t>Sudah dibayar 14 Jan 26</t>
  </si>
  <si>
    <t>Sudah dibayar 21 Jan 26</t>
  </si>
  <si>
    <t xml:space="preserve">Pasang Lampu Samping </t>
  </si>
  <si>
    <r>
      <t xml:space="preserve">Sudah dibayar </t>
    </r>
    <r>
      <rPr>
        <rFont val="Calibri"/>
        <b/>
        <color theme="1"/>
        <sz val="9.0"/>
      </rPr>
      <t>5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7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</si>
  <si>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Lampu samping mati</t>
  </si>
  <si>
    <r>
      <t xml:space="preserve"> </t>
    </r>
    <r>
      <rPr>
        <rFont val="Calibri"/>
        <b/>
        <color theme="1"/>
        <sz val="9.0"/>
      </rPr>
      <t>30.02 jadi 29.93, selisih 90kg</t>
    </r>
  </si>
  <si>
    <r>
      <t xml:space="preserve">Sudah dibayar </t>
    </r>
    <r>
      <rPr>
        <rFont val="Calibri"/>
        <b/>
        <color theme="1"/>
        <sz val="9.0"/>
      </rPr>
      <t>11 Jan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4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</si>
  <si>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32.</t>
  </si>
  <si>
    <t>Air Aki</t>
  </si>
  <si>
    <t>3 liter</t>
  </si>
  <si>
    <r>
      <rPr>
        <rFont val="Calibri"/>
        <b/>
        <color theme="1"/>
        <sz val="9.0"/>
      </rPr>
      <t>Kurang 230kg, 34.9 jadi 34.67 11 Jan 26</t>
    </r>
    <r>
      <rPr>
        <rFont val="Calibri"/>
        <color theme="1"/>
        <sz val="9.0"/>
      </rPr>
      <t xml:space="preserve"> Mas Mawan 7 rit (4 rit putih, 3 rit hijau)</t>
    </r>
  </si>
  <si>
    <t>GPS Inova Track (SBI) 3/12</t>
  </si>
  <si>
    <t>Sisa Stock baut roda 3+5 kiri (8 pcs)</t>
  </si>
  <si>
    <t>Sisa Stock baut roda 1+5 kanan (6 pcs)</t>
  </si>
  <si>
    <t>GPS Easygo (SI) 4/12</t>
  </si>
  <si>
    <t>Nyepul Kepala Aki</t>
  </si>
  <si>
    <r>
      <t xml:space="preserve">Sudah dibayar </t>
    </r>
    <r>
      <rPr>
        <rFont val="Calibri"/>
        <b/>
        <color theme="1"/>
        <sz val="9.0"/>
      </rPr>
      <t>5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7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</si>
  <si>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28.04 jadi 28.17 lebih 130kg (tidak dibayar sekarang lebih sejak 1 Jan 26). Potong tonase 1 ton</t>
  </si>
  <si>
    <t>Skun</t>
  </si>
  <si>
    <r>
      <t xml:space="preserve">Sudah dibayar </t>
    </r>
    <r>
      <rPr>
        <rFont val="Calibri"/>
        <b/>
        <color theme="1"/>
        <sz val="9.0"/>
      </rPr>
      <t>5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4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</si>
  <si>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SAYUNG BF12</t>
  </si>
  <si>
    <t>Terminal A</t>
  </si>
  <si>
    <t>Lupa Potong</t>
  </si>
  <si>
    <r>
      <t xml:space="preserve">Sudah dibayar </t>
    </r>
    <r>
      <rPr>
        <rFont val="Calibri"/>
        <b/>
        <color theme="1"/>
        <sz val="9.0"/>
      </rPr>
      <t>5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7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</si>
  <si>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32.88 jadi 32.8 selisih 80kg</t>
  </si>
  <si>
    <t>Perbaikkan Socket Lampu Depan + Dim</t>
  </si>
  <si>
    <t xml:space="preserve">Lampu Depan Dim Sendiri </t>
  </si>
  <si>
    <t>Relay (Bosh)</t>
  </si>
  <si>
    <t>DP Truk H 8183 OF</t>
  </si>
  <si>
    <t>Box Sikring Sort (Berasap)</t>
  </si>
  <si>
    <t>Kudus</t>
  </si>
  <si>
    <r>
      <t xml:space="preserve">Sudah dibayar </t>
    </r>
    <r>
      <rPr>
        <rFont val="Calibri"/>
        <b/>
        <color theme="1"/>
        <sz val="9.0"/>
      </rPr>
      <t>5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4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</si>
  <si>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Kurang 350kg, 35.72 jadi 35.37</t>
  </si>
  <si>
    <t>Pembayaran Truk Ke 1</t>
  </si>
  <si>
    <t>Pembayaran Truk Ke 2</t>
  </si>
  <si>
    <r>
      <t xml:space="preserve">Sudah dibayar </t>
    </r>
    <r>
      <rPr>
        <rFont val="Calibri"/>
        <b/>
        <color theme="1"/>
        <sz val="9.0"/>
      </rPr>
      <t>5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7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</si>
  <si>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SEMARANG BF12</t>
  </si>
  <si>
    <t>Sikring</t>
  </si>
  <si>
    <t xml:space="preserve">Perbaikkan Kelistrikan+Storing </t>
  </si>
  <si>
    <t>Sudah dibayar 2 Feb 26</t>
  </si>
  <si>
    <r>
      <t xml:space="preserve">Sudah dibayar </t>
    </r>
    <r>
      <rPr>
        <rFont val="Calibri"/>
        <b/>
        <color theme="1"/>
        <sz val="9.0"/>
      </rPr>
      <t>5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4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</si>
  <si>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Kurang 150kg, 32.36 jadi 32.10</t>
  </si>
  <si>
    <t>Belum Dipotong</t>
  </si>
  <si>
    <t>JEPARA BG07</t>
  </si>
  <si>
    <t>ARYA BETON MITRA PERKASA (JEPARA)</t>
  </si>
  <si>
    <t>Kabel ORI Bintik Tembaga</t>
  </si>
  <si>
    <t>34 meter</t>
  </si>
  <si>
    <r>
      <t xml:space="preserve">Sudah dibayar </t>
    </r>
    <r>
      <rPr>
        <rFont val="Calibri"/>
        <b/>
        <color theme="1"/>
        <sz val="9.0"/>
      </rPr>
      <t>5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7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</si>
  <si>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31.42 jadi 31.3 selisih 120kg</t>
  </si>
  <si>
    <t>Lampu Rem Kota dan Hazard Mati</t>
  </si>
  <si>
    <t>Perbaikkan Ngeset Lampu Rem Kota dan Hazard Mati</t>
  </si>
  <si>
    <t>Ganti Ban Cadangan Impact</t>
  </si>
  <si>
    <t>Lubung Oangan Lasem</t>
  </si>
  <si>
    <t>Pecah ban</t>
  </si>
  <si>
    <t>Ban Duraturn 1100 Luar Saja</t>
  </si>
  <si>
    <t>Caping Ban</t>
  </si>
  <si>
    <t>Ban Bekas Tronton Kanan Dalam Pecah</t>
  </si>
  <si>
    <t>Jas Bongkar Pasang Ban+Ongkos Pasang Ban Cadangan</t>
  </si>
  <si>
    <t>Sudah dibayar 4 Feb 26</t>
  </si>
  <si>
    <t xml:space="preserve">Demak kotak </t>
  </si>
  <si>
    <t>Pasang di Tronton Kanan Luar</t>
  </si>
  <si>
    <r>
      <t xml:space="preserve">Sudah dibayar </t>
    </r>
    <r>
      <rPr>
        <rFont val="Calibri"/>
        <b/>
        <color theme="1"/>
        <sz val="9.0"/>
      </rPr>
      <t>5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7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</si>
  <si>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r>
      <t xml:space="preserve">Sudah dibayar </t>
    </r>
    <r>
      <rPr>
        <rFont val="Calibri"/>
        <b/>
        <color theme="1"/>
        <sz val="9.0"/>
      </rPr>
      <t>5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4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</si>
  <si>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r>
      <rPr>
        <rFont val="Calibri"/>
        <b/>
        <color theme="1"/>
        <sz val="9.0"/>
      </rPr>
      <t>5 Feb 25</t>
    </r>
    <r>
      <rPr>
        <rFont val="Calibri"/>
        <color theme="1"/>
        <sz val="9.0"/>
      </rPr>
      <t xml:space="preserve"> Mas Wawan 11 rit (4 rit putih, 7 rit hijau)</t>
    </r>
  </si>
  <si>
    <t>Duraturn Baru Pasang di Kiri Depan, Duraturn Depan kiri Pindah Engkel Luar kanan</t>
  </si>
  <si>
    <t>Ban Neolin Engkel Luar Kanan Pindah ke Tronton Kanan</t>
  </si>
  <si>
    <t>Ban Duraturn 1100 Set</t>
  </si>
  <si>
    <t>Ban Bekas+Ban Neolin Pecah</t>
  </si>
  <si>
    <r>
      <t xml:space="preserve">Sudah dibayar </t>
    </r>
    <r>
      <rPr>
        <rFont val="Calibri"/>
        <b/>
        <color theme="1"/>
        <sz val="9.0"/>
      </rPr>
      <t>5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7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</si>
  <si>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r>
      <rPr>
        <rFont val="Calibri"/>
        <b/>
        <color theme="1"/>
        <sz val="9.0"/>
      </rPr>
      <t xml:space="preserve">27.42 jadi 27.32, selisih 100kg. </t>
    </r>
    <r>
      <rPr>
        <rFont val="Calibri"/>
        <color theme="1"/>
        <sz val="9.0"/>
      </rPr>
      <t>Batas Muatan 29 Ton Bawen, 5 Feb 26 Mas Wawan 11 rit (4 rit putih, 7 rit hijau)</t>
    </r>
  </si>
  <si>
    <t>Marset Tipis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</si>
  <si>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</si>
  <si>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Kurang 440kg, 33.4 jadi 32,96</t>
  </si>
  <si>
    <t>Bongkar Pasang Ban+Impact</t>
  </si>
  <si>
    <t>3 ban</t>
  </si>
  <si>
    <t>Sedulur Ban</t>
  </si>
  <si>
    <t xml:space="preserve">Masang Ban Cadangan + Cadangan Mas Toni </t>
  </si>
  <si>
    <t>Bongkar Pasang Ban Baru+Impact</t>
  </si>
  <si>
    <t>Tidak Potong</t>
  </si>
  <si>
    <t>Kotak Ban</t>
  </si>
  <si>
    <t>Duraturn Baru Depan Kanan, Duraturn Kanan Depan Engkel Kanan, Neolin Tronton Kanan Luar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</si>
  <si>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</si>
  <si>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Ban Bridgeston Benang 1100 terjual</t>
  </si>
  <si>
    <t>Ban 1100 Benang Terjual (hilang, Iyus ganti rugi)</t>
  </si>
  <si>
    <t>Ban Giti Bekas 1100 kawat set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</si>
  <si>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</si>
  <si>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5 Februari 2026 pecah</t>
  </si>
  <si>
    <t>Pak Udin Pengurus SILOG</t>
  </si>
  <si>
    <t>Seal Perseneling Belakang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</si>
  <si>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</si>
  <si>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Vet</t>
  </si>
  <si>
    <t>Seal Pen Belakang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</si>
  <si>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</si>
  <si>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Karet Kopling Atas</t>
  </si>
  <si>
    <t>Kurang 290kg, 34,78 jadi 34,49</t>
  </si>
  <si>
    <t>Seal Tromol Belakang Engkel Kiri</t>
  </si>
  <si>
    <t>Stempet Rotary Roda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</si>
  <si>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</si>
  <si>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34.88 jadi 34,71 selisih 170kg</t>
  </si>
  <si>
    <t>Jasa Ganti Seal Perseneling</t>
  </si>
  <si>
    <t>Seal Perseneling Rembes (Netes ke kampas rem tangan)</t>
  </si>
  <si>
    <t>Jasa Ganti Seal Rem Belakang Engkel Kiri</t>
  </si>
  <si>
    <t xml:space="preserve">Seal Rem Belakang Kiri Engkel Rembes </t>
  </si>
  <si>
    <t>Oli Gardan</t>
  </si>
  <si>
    <t>Jasa Tambal Ban Duraturn Dalam Engkel Kanan</t>
  </si>
  <si>
    <t>Berdikari Tambal Ban</t>
  </si>
  <si>
    <t>Jasa Ganti Filter Solar Atas &amp; Bawah</t>
  </si>
  <si>
    <t>Nova Silog</t>
  </si>
  <si>
    <t>KM 628.027,63. Atas KM10.300, bawah KM5.000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</si>
  <si>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</si>
  <si>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Kurang 170kg, 33.96 jadi 33.79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</si>
  <si>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</si>
  <si>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30,28 jadi 30,07 selisih 210kg</t>
  </si>
  <si>
    <t>Stempet</t>
  </si>
  <si>
    <t xml:space="preserve">Berkah Rembang </t>
  </si>
  <si>
    <t>Sudah dibayar 21 Feb 26</t>
  </si>
  <si>
    <t>STNK 5/12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</si>
  <si>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</si>
  <si>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30,74 jadi 30,59 selisih 150kg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</si>
  <si>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</si>
  <si>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VUB BP SEMARANG (SEMARANG)</t>
  </si>
  <si>
    <t>KM 629.301, next ganti 639.301</t>
  </si>
  <si>
    <t>Meditran SX 4 Liter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</si>
  <si>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</si>
  <si>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</si>
  <si>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Meditran SX 1 Liter</t>
  </si>
  <si>
    <t>Stock Depan Kanan 1</t>
  </si>
  <si>
    <t>Stock Depan Kiri 1</t>
  </si>
  <si>
    <t xml:space="preserve">Segitiga Pengaman </t>
  </si>
  <si>
    <t>Filter Oli Mesin Hop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</si>
  <si>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</si>
  <si>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31,18 jadi 30,86 selisih 320kg. 26 Feb 26 Mas Wawan 15 rit (8 rit putih, 7 rit hijau)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</si>
  <si>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</si>
  <si>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Filter Solar Atas</t>
  </si>
  <si>
    <t>Stok Filter Solar Atas 1 pcs</t>
  </si>
  <si>
    <t>Filter Solar Bawah</t>
  </si>
  <si>
    <t>Sudah dibayar 5 Mar 26</t>
  </si>
  <si>
    <t xml:space="preserve">Sudah Dibayar 1, 94rb pake dump </t>
  </si>
  <si>
    <t>Stok Filter Solar Bawah 1 pcs</t>
  </si>
  <si>
    <t>35,24 jadi 35,1 selisih 140kg, 1 Byr pake dump</t>
  </si>
  <si>
    <t>Oli Rem Jumbo</t>
  </si>
  <si>
    <r>
      <t xml:space="preserve">Sudah dibayar </t>
    </r>
    <r>
      <rPr>
        <rFont val="Calibri"/>
        <b/>
        <color theme="1"/>
        <sz val="9.0"/>
      </rPr>
      <t>26 Feb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8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rit</t>
    </r>
  </si>
  <si>
    <t>26 Feb 26 Mas Mawan 15 rit (8 rit putih, 7 rit hijau)</t>
  </si>
  <si>
    <t>Lampu Tembak</t>
  </si>
  <si>
    <t>GPS Easygo (SI) 5/12</t>
  </si>
  <si>
    <t>RSP Electric</t>
  </si>
  <si>
    <t>GPS Inova Track (SBI) 4/12</t>
  </si>
  <si>
    <t>Asiyah  Tuban</t>
  </si>
  <si>
    <t>Sudah dibayar 8 Mar 26</t>
  </si>
  <si>
    <r>
      <t xml:space="preserve">Sudah dibayar </t>
    </r>
    <r>
      <rPr>
        <rFont val="Calibri"/>
        <b/>
        <color theme="1"/>
        <sz val="9.0"/>
      </rPr>
      <t>3 April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5 rit</t>
    </r>
  </si>
  <si>
    <t>31 jadi 30,96 selisih 40kg</t>
  </si>
  <si>
    <t xml:space="preserve">HCL </t>
  </si>
  <si>
    <t>Rellay Bosch Stop Engine</t>
  </si>
  <si>
    <t>Aisyah  Tuban</t>
  </si>
  <si>
    <t>Tidak bisa start dan stop engine</t>
  </si>
  <si>
    <t>Switch Sensor Speed</t>
  </si>
  <si>
    <t>Speed Sensor Rusak</t>
  </si>
  <si>
    <t>Lampu Utama Kiri H4 Hella</t>
  </si>
  <si>
    <r>
      <t xml:space="preserve">Sudah dibayar </t>
    </r>
    <r>
      <rPr>
        <rFont val="Calibri"/>
        <b/>
        <color theme="1"/>
        <sz val="9.0"/>
      </rPr>
      <t>3 April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5 rit</t>
    </r>
  </si>
  <si>
    <t>Konslet Dim Terus</t>
  </si>
  <si>
    <t>Fitting Lampu</t>
  </si>
  <si>
    <t>Lebih 200kg, 34.84 jadi 35.04</t>
  </si>
  <si>
    <t>Dop Engkel</t>
  </si>
  <si>
    <t>MIWA JAYA ABADI (MAGELANG)</t>
  </si>
  <si>
    <t>Jasa Ganti Oli Mesin</t>
  </si>
  <si>
    <t>4 meter</t>
  </si>
  <si>
    <t>Jasa Perbaikkan Lampu Mundur, Alarm Mundur, Stop Engine, Lampu Tembak, Speedometer, Lampu Utama, Sein Kanan</t>
  </si>
  <si>
    <t>Impact Ban Tronton Kanan Dalam Pecah</t>
  </si>
  <si>
    <t xml:space="preserve">Doktor Ban Rembang </t>
  </si>
  <si>
    <t>Ganti Cadangan</t>
  </si>
  <si>
    <t>Jasa Ganti Filter Oli Mesin</t>
  </si>
  <si>
    <t>Ban Profit GITI 1000 Kawat Set + 2 Marset Tipis</t>
  </si>
  <si>
    <t>Caping Ban Demak</t>
  </si>
  <si>
    <r>
      <t xml:space="preserve">Sudah dibayar </t>
    </r>
    <r>
      <rPr>
        <rFont val="Calibri"/>
        <b/>
        <color theme="1"/>
        <sz val="9.0"/>
      </rPr>
      <t>3 April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5 rit</t>
    </r>
  </si>
  <si>
    <t>Ban Bekas Pecah 2, Pasang Tronton Kanan</t>
  </si>
  <si>
    <t>Stoplamp Belakang</t>
  </si>
  <si>
    <r>
      <t xml:space="preserve">Sudah dibayar </t>
    </r>
    <r>
      <rPr>
        <rFont val="Calibri"/>
        <b/>
        <color theme="1"/>
        <sz val="9.0"/>
      </rPr>
      <t>3 April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5 rit</t>
    </r>
  </si>
  <si>
    <t>Mika sudah buram</t>
  </si>
  <si>
    <t xml:space="preserve">Kabel Rotari </t>
  </si>
  <si>
    <t>35.32 jadi 35.35 lebih 30kg (tidak dibayar sekarang lebih sejak 1 Jan 26)</t>
  </si>
  <si>
    <t>10 meter</t>
  </si>
  <si>
    <t>Fajar Motor Rembang</t>
  </si>
  <si>
    <t>Kaca Macet</t>
  </si>
  <si>
    <t xml:space="preserve">Neple Selang </t>
  </si>
  <si>
    <t>Alarm Mundur</t>
  </si>
  <si>
    <t>Buat Kran Angin</t>
  </si>
  <si>
    <t>Sudah dibayar 12 Mar 26</t>
  </si>
  <si>
    <t>Kebakar kena banjir</t>
  </si>
  <si>
    <r>
      <t xml:space="preserve">Sudah dibayar </t>
    </r>
    <r>
      <rPr>
        <rFont val="Calibri"/>
        <b/>
        <color theme="1"/>
        <sz val="9.0"/>
      </rPr>
      <t>3 April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5 rit</t>
    </r>
  </si>
  <si>
    <t>Lebih 180kg, 33.64 jadi 33,82</t>
  </si>
  <si>
    <t>Saklar Rotari</t>
  </si>
  <si>
    <t>Jasa Perbaikan Regulator Kaca Kanan</t>
  </si>
  <si>
    <t>Teman Mas Rul</t>
  </si>
  <si>
    <t>Lampu Led</t>
  </si>
  <si>
    <r>
      <t xml:space="preserve">Sudah dibayar </t>
    </r>
    <r>
      <rPr>
        <rFont val="Calibri"/>
        <b/>
        <color theme="1"/>
        <sz val="9.0"/>
      </rPr>
      <t>3 April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5 rit</t>
    </r>
  </si>
  <si>
    <t>31.06 jadi 31.14 lebih 18 kg (tidak dibayar sekarang lebih sejak 1 Jan 26)</t>
  </si>
  <si>
    <t xml:space="preserve">Mati 1 kena banjir </t>
  </si>
  <si>
    <t>Jasa Perbaikan&amp;Pasang Lampu Mundur, Alarm Mundur, Rotari, Stop Lamp</t>
  </si>
  <si>
    <r>
      <t xml:space="preserve">Sudah dibayar </t>
    </r>
    <r>
      <rPr>
        <rFont val="Calibri"/>
        <b/>
        <color theme="1"/>
        <sz val="9.0"/>
      </rPr>
      <t>3 April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5 rit</t>
    </r>
  </si>
  <si>
    <t>Kurang 180kg, 33.60 jadi 33.42</t>
  </si>
  <si>
    <t>Storing</t>
  </si>
  <si>
    <r>
      <t xml:space="preserve">Sudah dibayar </t>
    </r>
    <r>
      <rPr>
        <rFont val="Calibri"/>
        <b/>
        <color theme="1"/>
        <sz val="9.0"/>
      </rPr>
      <t>3 April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5 rit</t>
    </r>
  </si>
  <si>
    <t>Tambah Angin</t>
  </si>
  <si>
    <t>10 pcs</t>
  </si>
  <si>
    <t>29.98 jadi 30.02 lebih 40kg (tidak dibayar sekarang lebih sejak 1 Jan 26), UJ Toleransi 30 up</t>
  </si>
  <si>
    <t>Kontrol Tekanan Ban</t>
  </si>
  <si>
    <t>Oli Rem Jumbo 1 Liter</t>
  </si>
  <si>
    <t>Semprot Radiator &amp; Filter Udara</t>
  </si>
  <si>
    <t>Coolant Hikari 5 Liter</t>
  </si>
  <si>
    <t>Kontrol Impact Baut</t>
  </si>
  <si>
    <t>Sudah dibayar 15 Juni 26</t>
  </si>
  <si>
    <t>Tutup Radiator Ori</t>
  </si>
  <si>
    <t>Disimpan</t>
  </si>
  <si>
    <t>Karet sudah rusak</t>
  </si>
  <si>
    <r>
      <t xml:space="preserve">Sudah dibayar </t>
    </r>
    <r>
      <rPr>
        <rFont val="Calibri"/>
        <b/>
        <color theme="1"/>
        <sz val="9.0"/>
      </rPr>
      <t>3 April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5 rit</t>
    </r>
  </si>
  <si>
    <t>Bos Boogie Lohan Kanan</t>
  </si>
  <si>
    <r>
      <t xml:space="preserve">Sudah dibayar </t>
    </r>
    <r>
      <rPr>
        <rFont val="Calibri"/>
        <b/>
        <color theme="1"/>
        <sz val="9.0"/>
      </rPr>
      <t>3 April 26</t>
    </r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5 rit</t>
    </r>
  </si>
  <si>
    <t>Mas Mawan 10 rit (5 rit putih, 5 rit hijau)</t>
  </si>
  <si>
    <t xml:space="preserve">Boogie/Trunion Kanan </t>
  </si>
  <si>
    <t>32,66 jadi 32,64 selisih 20kg, Mas Mawan 10 rit (5 rit putih, 5 rit hijau), UJ Potong 50 dibawah 33 ton</t>
  </si>
  <si>
    <t xml:space="preserve">Kawel Lohan </t>
  </si>
  <si>
    <t>Tuker Tambah Ganti Valve Nomer 3</t>
  </si>
  <si>
    <t>Jasa Setting Mesin</t>
  </si>
  <si>
    <t>Pak Dedi Tuban</t>
  </si>
  <si>
    <t>Bocor, Valve nomer 3 dari depan</t>
  </si>
  <si>
    <t>Las 4 Pangkon Segel &amp; 4 Baut Jok</t>
  </si>
  <si>
    <t>Jasa Bongkar Pasang Vacum Boost Pump + Setting Vacum</t>
  </si>
  <si>
    <t>Patah pangkon segel dan jok</t>
  </si>
  <si>
    <t>Tambal Ban Kanan Depan + Impact</t>
  </si>
  <si>
    <r>
      <t xml:space="preserve">Sudah dibayar </t>
    </r>
    <r>
      <rPr>
        <rFont val="Calibri"/>
        <b/>
        <color theme="1"/>
        <sz val="9.0"/>
      </rPr>
      <t>8 Mei 26 10 rit</t>
    </r>
  </si>
  <si>
    <t xml:space="preserve">Putra Nusantara Rembang </t>
  </si>
  <si>
    <t>Ban Kanan Depan Bocor Marset Lipat</t>
  </si>
  <si>
    <r>
      <t xml:space="preserve">Sudah dibayar </t>
    </r>
    <r>
      <rPr>
        <rFont val="Calibri"/>
        <b/>
        <color theme="1"/>
        <sz val="9.0"/>
      </rPr>
      <t>8 Mei 26 10 rit</t>
    </r>
  </si>
  <si>
    <t>31,80 jadi 31,48 selisih 320kg</t>
  </si>
  <si>
    <t xml:space="preserve">Impact Tuker Ban Cadangan </t>
  </si>
  <si>
    <t>Cahaya Baru Motor Lasem</t>
  </si>
  <si>
    <t xml:space="preserve">Pecah </t>
  </si>
  <si>
    <t>Kabeli Tis</t>
  </si>
  <si>
    <r>
      <t xml:space="preserve">Sudah dibayar </t>
    </r>
    <r>
      <rPr>
        <rFont val="Calibri"/>
        <b/>
        <color theme="1"/>
        <sz val="9.0"/>
      </rPr>
      <t>12 Mei 26</t>
    </r>
  </si>
  <si>
    <t>Tuker Tambah Velg Bekas</t>
  </si>
  <si>
    <t>Lampu Tembak Kanan</t>
  </si>
  <si>
    <r>
      <t xml:space="preserve">Sudah dibayar </t>
    </r>
    <r>
      <rPr>
        <rFont val="Calibri"/>
        <b/>
        <color theme="1"/>
        <sz val="9.0"/>
      </rPr>
      <t>8 Mei 26 10 rit</t>
    </r>
  </si>
  <si>
    <t>Rizky Jaya Ban Sluke</t>
  </si>
  <si>
    <t>Mamer Tuban</t>
  </si>
  <si>
    <t>Velg cadangan dituker tambah</t>
  </si>
  <si>
    <t>Lebih 10kg, 35.48 jadi 35.49</t>
  </si>
  <si>
    <t>Mati kena lubang, rotari mati 2 juga</t>
  </si>
  <si>
    <r>
      <t xml:space="preserve">Sudah dibayar </t>
    </r>
    <r>
      <rPr>
        <rFont val="Calibri"/>
        <b/>
        <color theme="1"/>
        <sz val="9.0"/>
      </rPr>
      <t>8 Mei 26 10 rit</t>
    </r>
  </si>
  <si>
    <t>35,16 jadi 35,06 selisih 100kg</t>
  </si>
  <si>
    <t>SUPERIOR PRIMA SUKSES (SRAGEN)</t>
  </si>
  <si>
    <t>Tambal + Impact</t>
  </si>
  <si>
    <t>Jasa Bongkar Pasang</t>
  </si>
  <si>
    <t>Spion Tanduk Kiri</t>
  </si>
  <si>
    <t xml:space="preserve">Las 5758 Rembang </t>
  </si>
  <si>
    <r>
      <t xml:space="preserve">Sudah dibayar </t>
    </r>
    <r>
      <rPr>
        <rFont val="Calibri"/>
        <b/>
        <color theme="1"/>
        <sz val="9.0"/>
      </rPr>
      <t>12 Mei 26</t>
    </r>
  </si>
  <si>
    <r>
      <t xml:space="preserve">Sudah dibayar </t>
    </r>
    <r>
      <rPr>
        <rFont val="Calibri"/>
        <b/>
        <color theme="1"/>
        <sz val="9.0"/>
      </rPr>
      <t>8 Mei 26 10 rit</t>
    </r>
  </si>
  <si>
    <r>
      <t xml:space="preserve">Sudah dibayar </t>
    </r>
    <r>
      <rPr>
        <rFont val="Calibri"/>
        <b/>
        <color theme="1"/>
        <sz val="9.0"/>
      </rPr>
      <t>8 Mei 26 10 rit</t>
    </r>
  </si>
  <si>
    <t>Dina Sluke</t>
  </si>
  <si>
    <t>Ban Kanan Depan Bocor Baut</t>
  </si>
  <si>
    <t>Kontrol Baut</t>
  </si>
  <si>
    <t>Tambal Ban Berdikari Tuban</t>
  </si>
  <si>
    <t>Las Tamper Per Belakang</t>
  </si>
  <si>
    <t>Per Renggang</t>
  </si>
  <si>
    <t>Semprot Filter</t>
  </si>
  <si>
    <r>
      <t xml:space="preserve">Sudah dibayar </t>
    </r>
    <r>
      <rPr>
        <rFont val="Calibri"/>
        <b/>
        <color theme="1"/>
        <sz val="9.0"/>
      </rPr>
      <t>12 Mei 26</t>
    </r>
  </si>
  <si>
    <r>
      <t xml:space="preserve">Sudah dibayar </t>
    </r>
    <r>
      <rPr>
        <rFont val="Calibri"/>
        <b/>
        <color theme="1"/>
        <sz val="9.0"/>
      </rPr>
      <t>8 Mei 26 10 rit</t>
    </r>
  </si>
  <si>
    <t>Kurang 120kg, 33.84 jadi 33.72</t>
  </si>
  <si>
    <t>Las Bumper Pipa Tambahan Belakang</t>
  </si>
  <si>
    <t>Kena Ganjel di KH</t>
  </si>
  <si>
    <r>
      <t xml:space="preserve">Sudah dibayar </t>
    </r>
    <r>
      <rPr>
        <rFont val="Calibri"/>
        <b/>
        <color theme="1"/>
        <sz val="9.0"/>
      </rPr>
      <t>8 Mei 26 10 rit</t>
    </r>
  </si>
  <si>
    <t>32,54 jadi 32,46 selisih 80kg, NBI Potong 50 dibawah 33 ton</t>
  </si>
  <si>
    <t xml:space="preserve">Perbaikkan Bocor Selang Thermostat </t>
  </si>
  <si>
    <t>Ganti Filter Solar Bawah</t>
  </si>
  <si>
    <t>Stok Filter Solar Bawah 0 pcs, KM GPS 632.057</t>
  </si>
  <si>
    <t>Sudah dibayar 23 April 26</t>
  </si>
  <si>
    <r>
      <t xml:space="preserve">Sudah dibayar </t>
    </r>
    <r>
      <rPr>
        <rFont val="Calibri"/>
        <b/>
        <color theme="1"/>
        <sz val="9.0"/>
      </rPr>
      <t>12 Mei 26</t>
    </r>
  </si>
  <si>
    <r>
      <t xml:space="preserve">Sudah dibayar </t>
    </r>
    <r>
      <rPr>
        <rFont val="Calibri"/>
        <b/>
        <color theme="1"/>
        <sz val="9.0"/>
      </rPr>
      <t>8 Mei 26 10 rit</t>
    </r>
  </si>
  <si>
    <t>TRIPILAR BETON MAS (SALATIGA)</t>
  </si>
  <si>
    <t>STNK 6/12</t>
  </si>
  <si>
    <r>
      <t xml:space="preserve">Sudah dibayar </t>
    </r>
    <r>
      <rPr>
        <rFont val="Calibri"/>
        <b/>
        <color theme="1"/>
        <sz val="9.0"/>
      </rPr>
      <t>8 Mei 26 10 rit</t>
    </r>
  </si>
  <si>
    <t>UJ Potong 2 Ton (100.000)</t>
  </si>
  <si>
    <t>Karet Stabil HOP Ori</t>
  </si>
  <si>
    <t>Karet Aus</t>
  </si>
  <si>
    <t>Karet Stoper Belakang</t>
  </si>
  <si>
    <t xml:space="preserve">Bongkar Pasang Karet Stabil/Dingdong Belakang </t>
  </si>
  <si>
    <t>Sudah dibayar 27 April 26</t>
  </si>
  <si>
    <r>
      <t xml:space="preserve">Sudah dibayar </t>
    </r>
    <r>
      <rPr>
        <rFont val="Calibri"/>
        <b/>
        <color theme="1"/>
        <sz val="9.0"/>
      </rPr>
      <t>12 Mei 26</t>
    </r>
  </si>
  <si>
    <r>
      <t xml:space="preserve">Sudah dibayar </t>
    </r>
    <r>
      <rPr>
        <rFont val="Calibri"/>
        <b/>
        <color theme="1"/>
        <sz val="9.0"/>
      </rPr>
      <t>8 Mei 26 10 rit</t>
    </r>
  </si>
  <si>
    <t>Jasa Kirim Part</t>
  </si>
  <si>
    <t>Kurang 220kg, 33.56 jadi 33.34</t>
  </si>
  <si>
    <t>Las Kenteng Spakbor Kiri Belakang</t>
  </si>
  <si>
    <t>JATI KENCANA BETON (UNGARAN)</t>
  </si>
  <si>
    <t>Stel Rem</t>
  </si>
  <si>
    <t>Mbah Datuk</t>
  </si>
  <si>
    <t>Las Karbit Sok Pipa &amp; Kendangan Knalpot</t>
  </si>
  <si>
    <t xml:space="preserve">Las Tambahan Plat Bantalan Per Belakang </t>
  </si>
  <si>
    <t xml:space="preserve">Service Doorlock Pintu Kanan Tidak Bisa Dibuka </t>
  </si>
  <si>
    <t>Adi Jaya Ban Iyus</t>
  </si>
  <si>
    <t>Semprot Filter Udara Mesin</t>
  </si>
  <si>
    <r>
      <t xml:space="preserve">Sudah dibayar </t>
    </r>
    <r>
      <rPr>
        <rFont val="Calibri"/>
        <b/>
        <color theme="1"/>
        <sz val="9.0"/>
      </rPr>
      <t>8 Mei 26 10 rit</t>
    </r>
  </si>
  <si>
    <r>
      <t xml:space="preserve">Sudah dibayar </t>
    </r>
    <r>
      <rPr>
        <rFont val="Calibri"/>
        <b/>
        <color theme="1"/>
        <sz val="9.0"/>
      </rPr>
      <t>12 Mei 26</t>
    </r>
  </si>
  <si>
    <t xml:space="preserve">Las Pasangan Kanal Pengaman Kiri </t>
  </si>
  <si>
    <r>
      <t xml:space="preserve">Sudah dibayar </t>
    </r>
    <r>
      <rPr>
        <rFont val="Calibri"/>
        <b/>
        <color theme="1"/>
        <sz val="9.0"/>
      </rPr>
      <t>8 Mei 26 10 rit</t>
    </r>
  </si>
  <si>
    <t>Las Pembuatan Tempat Drigen Solar</t>
  </si>
  <si>
    <t>As Roda Hino 260 TI Orisinil Engkel Kanan</t>
  </si>
  <si>
    <t xml:space="preserve">Jasa Setting Vacum Boost Pump dari 10 ke 12 + Gas &amp; Storing </t>
  </si>
  <si>
    <t>Patah As Roda Engkel Kanan</t>
  </si>
  <si>
    <t>Pak Dedy Tuban</t>
  </si>
  <si>
    <t>GPS 248.553 KM</t>
  </si>
  <si>
    <t>Storing + Jasa Bongkar pasang As Roda</t>
  </si>
  <si>
    <t>Sudah dibayar 3 Mei 26</t>
  </si>
  <si>
    <r>
      <t xml:space="preserve">Sudah dibayar </t>
    </r>
    <r>
      <rPr>
        <rFont val="Calibri"/>
        <b/>
        <color theme="1"/>
        <sz val="9.0"/>
      </rPr>
      <t>8 Mei 26 10 rit</t>
    </r>
  </si>
  <si>
    <t>28,02 jadi 28,05 lebih 30 kg (tidak dibayar sekarang lebih sejak 1 Jan 26)</t>
  </si>
  <si>
    <r>
      <t xml:space="preserve">Sudah dibayar </t>
    </r>
    <r>
      <rPr>
        <rFont val="Calibri"/>
        <b/>
        <color theme="1"/>
        <sz val="9.0"/>
      </rPr>
      <t>12 Mei 26</t>
    </r>
  </si>
  <si>
    <r>
      <t xml:space="preserve">Sudah dibayar </t>
    </r>
    <r>
      <rPr>
        <rFont val="Calibri"/>
        <b/>
        <color theme="1"/>
        <sz val="9.0"/>
      </rPr>
      <t>8 Mei 26 10 rit</t>
    </r>
  </si>
  <si>
    <t>Lanjutan Perbaikkan As Roda Patah</t>
  </si>
  <si>
    <t xml:space="preserve">Stempet Rotari </t>
  </si>
  <si>
    <r>
      <t xml:space="preserve">Sudah dibayar </t>
    </r>
    <r>
      <rPr>
        <rFont val="Calibri"/>
        <b/>
        <color theme="1"/>
        <sz val="9.0"/>
      </rPr>
      <t>12 Mei 26</t>
    </r>
  </si>
  <si>
    <r>
      <t xml:space="preserve">Sudah dibayar </t>
    </r>
    <r>
      <rPr>
        <rFont val="Calibri"/>
        <b/>
        <color theme="1"/>
        <sz val="9.0"/>
      </rPr>
      <t>8 Mei 26 10 rit</t>
    </r>
  </si>
  <si>
    <r>
      <t xml:space="preserve">Sudah dibayar </t>
    </r>
    <r>
      <rPr>
        <rFont val="Calibri"/>
        <b/>
        <color theme="1"/>
        <sz val="9.0"/>
      </rPr>
      <t>8 Mei 26 10 rit</t>
    </r>
  </si>
  <si>
    <t>29,62 jadi 29,35 selisih 270kg</t>
  </si>
  <si>
    <t>Tambal Ban Putra Nusantara Rembang</t>
  </si>
  <si>
    <t>Sporing Stir</t>
  </si>
  <si>
    <t>Tambal Ban SIS Rembang</t>
  </si>
  <si>
    <t>Jasa Bongkar Pasang Klaker, Service Baut Slumbung</t>
  </si>
  <si>
    <t>Stempet Boogie + Per</t>
  </si>
  <si>
    <t>Ring As Slumbung</t>
  </si>
  <si>
    <t>Tambal Ban Impact</t>
  </si>
  <si>
    <t>Sudah dibayar 9 Mei 26</t>
  </si>
  <si>
    <t>Tambal Barokah Pati</t>
  </si>
  <si>
    <r>
      <t xml:space="preserve">Sudah dibayar </t>
    </r>
    <r>
      <rPr>
        <rFont val="Calibri"/>
        <b/>
        <color theme="1"/>
        <sz val="9.0"/>
      </rPr>
      <t>12 Mei 26</t>
    </r>
  </si>
  <si>
    <t>Bocor Kena Plat</t>
  </si>
  <si>
    <r>
      <t xml:space="preserve">Sudah dibayar </t>
    </r>
    <r>
      <rPr>
        <rFont val="Calibri"/>
        <b/>
        <color theme="1"/>
        <sz val="9.0"/>
      </rPr>
      <t>8 Mei 26 10 rit</t>
    </r>
  </si>
  <si>
    <r>
      <t xml:space="preserve">Sudah dibayar </t>
    </r>
    <r>
      <rPr>
        <rFont val="Calibri"/>
        <b/>
        <color theme="1"/>
        <sz val="9.0"/>
      </rPr>
      <t>8 Mei 26 10 rit</t>
    </r>
  </si>
  <si>
    <t>Kampas</t>
  </si>
  <si>
    <t>Lebih 150kg, 34.58 jadi 34.73, Do Putih Hijau diambil 10+10rit (ambil cash 1 juta+ bayar ban 1 juta)</t>
  </si>
  <si>
    <r>
      <rPr>
        <rFont val="Calibri"/>
        <b/>
        <color theme="1"/>
        <sz val="9.0"/>
      </rPr>
      <t>5 Feb 25</t>
    </r>
    <r>
      <rPr>
        <rFont val="Calibri"/>
        <color theme="1"/>
        <sz val="9.0"/>
      </rPr>
      <t xml:space="preserve"> Mas Wawan 11 rit (4 rit putih, 7 rit hijau)</t>
    </r>
  </si>
  <si>
    <t>Laker Gardan Lohan 32218JA</t>
  </si>
  <si>
    <t>Bongkar Pasang Impact</t>
  </si>
  <si>
    <t>Indra Jaya Motor Tuban</t>
  </si>
  <si>
    <t>Ganti Baut Roda</t>
  </si>
  <si>
    <t>Press Ban Luar</t>
  </si>
  <si>
    <t>Laker Gardan Lohan 32217JA</t>
  </si>
  <si>
    <t>Perbaikkan Radiator + nambal bocor + press upper tank</t>
  </si>
  <si>
    <t>Enggal Maju Jenu</t>
  </si>
  <si>
    <t>Radiator Bocor Keropos</t>
  </si>
  <si>
    <t>Mur Slumbung Lohan</t>
  </si>
  <si>
    <r>
      <t xml:space="preserve">Sudah dibayar </t>
    </r>
    <r>
      <rPr>
        <rFont val="Calibri"/>
        <b/>
        <color theme="1"/>
        <sz val="9.0"/>
      </rPr>
      <t>12 Mei 26</t>
    </r>
  </si>
  <si>
    <r>
      <t xml:space="preserve">Sudah dibayar </t>
    </r>
    <r>
      <rPr>
        <rFont val="Calibri"/>
        <b/>
        <color theme="1"/>
        <sz val="9.0"/>
      </rPr>
      <t>29 Mei 26 8 rit</t>
    </r>
  </si>
  <si>
    <r>
      <t xml:space="preserve">Sudah dibayar </t>
    </r>
    <r>
      <rPr>
        <rFont val="Calibri"/>
        <b/>
        <color theme="1"/>
        <sz val="9.0"/>
      </rPr>
      <t>8 Mei 26 10 rit</t>
    </r>
  </si>
  <si>
    <t>Kurang 20kg, 35.52 jadi 35.50. Tab Yono bayar Bando 1juta</t>
  </si>
  <si>
    <t>Do Putih Hijau diambil 10+10rit (ambil cash 1 juta+ bayar ban 1 juta)</t>
  </si>
  <si>
    <r>
      <rPr>
        <rFont val="Calibri"/>
        <b/>
        <color theme="1"/>
        <sz val="9.0"/>
      </rPr>
      <t>5 Feb 25</t>
    </r>
    <r>
      <rPr>
        <rFont val="Calibri"/>
        <color theme="1"/>
        <sz val="9.0"/>
      </rPr>
      <t xml:space="preserve"> Mas Wawan 11 rit (4 rit putih, 7 rit hijau)</t>
    </r>
  </si>
  <si>
    <t>Bongkar PAsang Jok Driver Dan Las Meninggikan Dudukan Jok</t>
  </si>
  <si>
    <t>Servis Perpak PTO Bocor</t>
  </si>
  <si>
    <t>Tambal Ban Tronton Kanan Luar</t>
  </si>
  <si>
    <t>Walisongo Rembang</t>
  </si>
  <si>
    <r>
      <t xml:space="preserve">Sudah dibayar </t>
    </r>
    <r>
      <rPr>
        <rFont val="Calibri"/>
        <b/>
        <color theme="1"/>
        <sz val="9.0"/>
      </rPr>
      <t>29 Mei 26 8 rit</t>
    </r>
  </si>
  <si>
    <t>Kurang 10kg, 33.14 jadi 33.13</t>
  </si>
  <si>
    <t xml:space="preserve">Servis Jaring Hori Bocor </t>
  </si>
  <si>
    <r>
      <t xml:space="preserve">Sudah dibayar </t>
    </r>
    <r>
      <rPr>
        <rFont val="Calibri"/>
        <b/>
        <color theme="1"/>
        <sz val="9.0"/>
      </rPr>
      <t>28 Mei 26 8 rit</t>
    </r>
  </si>
  <si>
    <t>Ganti Karet Stopper Belakang</t>
  </si>
  <si>
    <t>2 Pcs</t>
  </si>
  <si>
    <t>Sudah dibayar 20 Mei 26</t>
  </si>
  <si>
    <r>
      <t xml:space="preserve">Sudah dibayar </t>
    </r>
    <r>
      <rPr>
        <rFont val="Calibri"/>
        <b/>
        <color theme="1"/>
        <sz val="9.0"/>
      </rPr>
      <t>29 Mei 26 8 rit</t>
    </r>
  </si>
  <si>
    <t>Baut 12 Baja</t>
  </si>
  <si>
    <r>
      <t xml:space="preserve">Sudah dibayar </t>
    </r>
    <r>
      <rPr>
        <rFont val="Calibri"/>
        <b/>
        <color theme="1"/>
        <sz val="9.0"/>
      </rPr>
      <t>28 Mei 26 8 rit</t>
    </r>
  </si>
  <si>
    <t>35.18 jadi 35.12 selisih 60kg</t>
  </si>
  <si>
    <t>Baut Patah</t>
  </si>
  <si>
    <t>Service Cross Joint Hori</t>
  </si>
  <si>
    <t>Mbah I Rembang</t>
  </si>
  <si>
    <t>Sudah dibayar 23 Mei 26</t>
  </si>
  <si>
    <r>
      <t xml:space="preserve">Sudah dibayar </t>
    </r>
    <r>
      <rPr>
        <rFont val="Calibri"/>
        <b/>
        <color theme="1"/>
        <sz val="9.0"/>
      </rPr>
      <t>29 Mei 26 8 rit</t>
    </r>
  </si>
  <si>
    <t>Kurang 40kg, 31.24 jadi 31.2</t>
  </si>
  <si>
    <t>STNK 7/12</t>
  </si>
  <si>
    <t>Ganti Arslet No 4</t>
  </si>
  <si>
    <t>1,2m2</t>
  </si>
  <si>
    <t>Sudah dibayar 3 Juni 26</t>
  </si>
  <si>
    <t>Pak Yanto Pereng</t>
  </si>
  <si>
    <r>
      <t xml:space="preserve">Sudah dibayar </t>
    </r>
    <r>
      <rPr>
        <rFont val="Calibri"/>
        <b/>
        <color theme="1"/>
        <sz val="9.0"/>
      </rPr>
      <t>28 Mei 26 8 rit</t>
    </r>
  </si>
  <si>
    <t>Sobek Bongkaran Lam</t>
  </si>
  <si>
    <t>30.36 jadi 30.46 lebih 100 kg (tidak dibayar sekarang lebih sejak 1 Jan 26). Do Putih 5 + Hijau 3 rit (800rb)</t>
  </si>
  <si>
    <t>Rapelan STNK 7 Bulan, 500.000/bulan</t>
  </si>
  <si>
    <t>10.800.000 2025 dibagi 12 900.000</t>
  </si>
  <si>
    <t>Sudah dibayar 31 Mei 26</t>
  </si>
  <si>
    <r>
      <t xml:space="preserve">Sudah dibayar </t>
    </r>
    <r>
      <rPr>
        <rFont val="Calibri"/>
        <b/>
        <color theme="1"/>
        <sz val="9.0"/>
      </rPr>
      <t>15 Juni 26</t>
    </r>
  </si>
  <si>
    <r>
      <t xml:space="preserve">Sudah dibayar </t>
    </r>
    <r>
      <rPr>
        <rFont val="Calibri"/>
        <b/>
        <color theme="1"/>
        <sz val="9.0"/>
      </rPr>
      <t>29 Mei 26 8 rit</t>
    </r>
  </si>
  <si>
    <t>Kurang 40kg, 35.98 jadi 35.87. Do Putih 5 + Hijau 3 rit (800rb)</t>
  </si>
  <si>
    <t>Jaya Subur Tuban</t>
  </si>
  <si>
    <t>425.000 Oli Tambahan (Hijau ambil 2liter), putih 3 liter, lebihan oli 5 liter (19 Feb 26 2 liter, sisa 3 liter)</t>
  </si>
  <si>
    <t xml:space="preserve">Tukar Tambah Velg </t>
  </si>
  <si>
    <t>Silog</t>
  </si>
  <si>
    <t>Bongkar Pasang Velg</t>
  </si>
  <si>
    <t>2 pcs jasa bongkar pasang velg temen mas yon</t>
  </si>
  <si>
    <t>GPS Easygo (SI) 6/12</t>
  </si>
  <si>
    <t>Tambal Ban Engkel Kanan Dalam</t>
  </si>
  <si>
    <t>GPS Inova Track (SBI) 5/12</t>
  </si>
  <si>
    <t>Guntur Putra Juwana</t>
  </si>
  <si>
    <t>Velg Engkel Kanan  DalamPecah</t>
  </si>
  <si>
    <t>Las Kendangan Knalpot + Tambah Pipa Knalpot</t>
  </si>
  <si>
    <r>
      <rPr>
        <rFont val="Calibri"/>
        <b/>
        <color theme="1"/>
        <sz val="9.0"/>
      </rPr>
      <t>5 Feb 25</t>
    </r>
    <r>
      <rPr>
        <rFont val="Calibri"/>
        <color theme="1"/>
        <sz val="9.0"/>
      </rPr>
      <t xml:space="preserve"> Mas Wawan 11 rit (4 rit putih, 7 rit hijau)</t>
    </r>
  </si>
  <si>
    <t>Otomatis Switch Handle</t>
  </si>
  <si>
    <t xml:space="preserve">Bongkar Pasang Ban Impact </t>
  </si>
  <si>
    <t>Gigi Tidak Bisa Pindah Ke Kura2 (High Low)</t>
  </si>
  <si>
    <t>Sudah dibayar 5 Juni 26</t>
  </si>
  <si>
    <t xml:space="preserve">Seal Tromol Belakang </t>
  </si>
  <si>
    <r>
      <t xml:space="preserve">Sudah dibayar </t>
    </r>
    <r>
      <rPr>
        <rFont val="Calibri"/>
        <b/>
        <color theme="1"/>
        <sz val="9.0"/>
      </rPr>
      <t>15 Juni 26</t>
    </r>
  </si>
  <si>
    <t xml:space="preserve">Tambah Angin </t>
  </si>
  <si>
    <t xml:space="preserve">Jasa Cek Laker Roda Semua </t>
  </si>
  <si>
    <t>Kurang 390kg, 34.46 jadi 34.07</t>
  </si>
  <si>
    <t xml:space="preserve">Oper Velg Beli Bekas </t>
  </si>
  <si>
    <t>Hj. Tarsilah</t>
  </si>
  <si>
    <t>Tuker Velg Cadangan</t>
  </si>
  <si>
    <t>Jasa Bongkar Pasang High Low</t>
  </si>
  <si>
    <t>Tonase Semarang dr 32 ton</t>
  </si>
  <si>
    <t>Willbut / Tutup Debu</t>
  </si>
  <si>
    <t>Kontrol Baut Roda + Impact</t>
  </si>
  <si>
    <t>Ledeng Rem 1 Meter</t>
  </si>
  <si>
    <t>Perbulan tiap tanggal 25 (Bayar 2 Feb 26)</t>
  </si>
  <si>
    <t>Sudah dibayar 14 Juni 26</t>
  </si>
  <si>
    <r>
      <t xml:space="preserve">Sudah dibayar </t>
    </r>
    <r>
      <rPr>
        <rFont val="Calibri"/>
        <b/>
        <color theme="1"/>
        <sz val="9.0"/>
      </rPr>
      <t>15 Juni 26</t>
    </r>
  </si>
  <si>
    <t>29,72 jadi 29,34 selisih 380kg</t>
  </si>
  <si>
    <t>Kurang 210kg, 31.36 jadi 31.15</t>
  </si>
  <si>
    <t>Jasa Bongkar Pasang Ban Engkel Kanan Pecah</t>
  </si>
  <si>
    <t>Solar ke Jepara Urus Surat Belum Stempel</t>
  </si>
  <si>
    <t>Pompa Solar</t>
  </si>
  <si>
    <t>Ban Duraturn 1100 Luar Saja ( Prod 3025) Serial Number 5112043669 &amp; 5112042665</t>
  </si>
  <si>
    <t xml:space="preserve">Mandiri Jaya Ban Semarang </t>
  </si>
  <si>
    <t>5 Februari 2026 pecah ban bekas GITI Melentung Pecah</t>
  </si>
  <si>
    <t>Ongkos Mas Toni Bawa 2 Ban</t>
  </si>
  <si>
    <t>Jasa Bongkar Pasang Seal Rem Belakang Kanan Kiri Tronton</t>
  </si>
  <si>
    <t>Jasa Ganti Ban Baru</t>
  </si>
  <si>
    <r>
      <t xml:space="preserve">Sudah dibayar </t>
    </r>
    <r>
      <rPr>
        <rFont val="Calibri"/>
        <b/>
        <color theme="1"/>
        <sz val="9.0"/>
      </rPr>
      <t>15 Juni 26</t>
    </r>
  </si>
  <si>
    <t>Artomoro Ban Jenu</t>
  </si>
  <si>
    <t>Las Kuningan Ledeng Rem</t>
  </si>
  <si>
    <t>Impact</t>
  </si>
  <si>
    <t>Kurang 280kg, 33.34 jadi 33.06</t>
  </si>
  <si>
    <t>30.50 jadi 30.38 selisih 120kg</t>
  </si>
  <si>
    <t>Ledeng Rem + Pompa Solar</t>
  </si>
  <si>
    <t>Marset Bekas</t>
  </si>
  <si>
    <t>STNK 8/12</t>
  </si>
  <si>
    <t>GPS Easygo (SI) 7/12</t>
  </si>
  <si>
    <t>Tuker Tambah Velg</t>
  </si>
  <si>
    <t>Sudah dibayar 25 Juni 26</t>
  </si>
  <si>
    <t>Temen Mas Rul</t>
  </si>
  <si>
    <r>
      <t xml:space="preserve">Sudah dibayar </t>
    </r>
    <r>
      <rPr>
        <rFont val="Calibri"/>
        <b/>
        <color theme="1"/>
        <sz val="9.0"/>
      </rPr>
      <t>15 Juni 26</t>
    </r>
  </si>
  <si>
    <t>Velg Pecah</t>
  </si>
  <si>
    <t>29.9 jadi 29.69 selisih 210kg</t>
  </si>
  <si>
    <t xml:space="preserve">Perbaikkan Dinamo Wiper </t>
  </si>
  <si>
    <t>Kurang 100kg, 35.26 jadi 35.16</t>
  </si>
  <si>
    <t>GPS Inova Track (SBI) 6/12</t>
  </si>
  <si>
    <t>Tambal Ban Juwana</t>
  </si>
  <si>
    <t>Patah 2</t>
  </si>
  <si>
    <t>Sudah dibayar 18 Juni 26</t>
  </si>
  <si>
    <r>
      <t xml:space="preserve">Sudah dibayar </t>
    </r>
    <r>
      <rPr>
        <rFont val="Calibri"/>
        <b/>
        <color theme="1"/>
        <sz val="9.0"/>
      </rPr>
      <t>15 Juni 26</t>
    </r>
  </si>
  <si>
    <r>
      <rPr>
        <rFont val="Calibri"/>
        <b/>
        <color theme="1"/>
        <sz val="9.0"/>
      </rPr>
      <t>5 Feb 25</t>
    </r>
    <r>
      <rPr>
        <rFont val="Calibri"/>
        <color theme="1"/>
        <sz val="9.0"/>
      </rPr>
      <t xml:space="preserve"> Mas Wawan 11 rit (4 rit putih, 7 rit hijau)</t>
    </r>
  </si>
  <si>
    <t>Potong Baut Roda Engkel Kanan Patah + Impact</t>
  </si>
  <si>
    <t>Tambal Ban Mandiri</t>
  </si>
  <si>
    <t>Tgl 15 Juni 26, Insentif 2.575.000, klaim 1.097.820, Tab 500.000</t>
  </si>
  <si>
    <t>Bongkar Pasang Ban + Impact</t>
  </si>
  <si>
    <t>Tambal Ban DJ22 Sukolilo</t>
  </si>
  <si>
    <t xml:space="preserve">1.5 liter </t>
  </si>
  <si>
    <t>Las Ganti Baut Roda Engkel Kanan Patah</t>
  </si>
  <si>
    <t>Pakai 2 Stok Baut Roda, Sisa stock baut roda 4 pcs kanan</t>
  </si>
  <si>
    <t>Bongkar Pasang Ban Cadangan dari Truk Mas Mawan dan Ban Bekas Pecah</t>
  </si>
  <si>
    <r>
      <t>Perbulan tiap tanggal 25 (</t>
    </r>
    <r>
      <rPr>
        <rFont val="Arial"/>
        <b/>
        <color theme="1"/>
      </rPr>
      <t>Bulan Februari pending</t>
    </r>
    <r>
      <rPr>
        <rFont val="Arial"/>
        <color theme="1"/>
      </rPr>
      <t>)</t>
    </r>
  </si>
  <si>
    <t>Perbaikkan Indikator Level Air Radiator+Storing</t>
  </si>
  <si>
    <t>Klaim Muatan Januari Februari Mas Yono Dibagi 2 HWT &amp; Mas Yono</t>
  </si>
  <si>
    <t>12.580 Kg</t>
  </si>
  <si>
    <t>Sudah dibayar 1 Juli 26</t>
  </si>
  <si>
    <t xml:space="preserve">Klaim 1.258.000 dibagi 2 </t>
  </si>
  <si>
    <t>Kaca Kanan Anjlok</t>
  </si>
  <si>
    <t>SUPERIOR PRIMA SUKSES (KRIAN)</t>
  </si>
  <si>
    <t>Sudah dibayar 15 Juli 26</t>
  </si>
  <si>
    <r>
      <rPr>
        <rFont val="Calibri"/>
        <color theme="1"/>
        <sz val="9.0"/>
      </rPr>
      <t xml:space="preserve">Sudah dibayar </t>
    </r>
    <r>
      <rPr>
        <rFont val="Calibri"/>
        <b/>
        <color theme="1"/>
        <sz val="9.0"/>
      </rPr>
      <t>15 Juli 26</t>
    </r>
  </si>
  <si>
    <t>Lebih 90kg, 31 jadi 31.90</t>
  </si>
  <si>
    <t>Rotasi Ban Engkel &amp; Tronton Kanan ke Kiri dan Kiri ke Kanan</t>
  </si>
  <si>
    <t>Artomoro Ban Tuban</t>
  </si>
  <si>
    <t>Bongkar Pasang Ban Kanan Depan Bocor</t>
  </si>
  <si>
    <t>Sanjaya Ban Pati</t>
  </si>
  <si>
    <t>Pasang Rotary</t>
  </si>
  <si>
    <t>Haji Mudjianto Tuban</t>
  </si>
  <si>
    <t>Sudah dibayar 27 Juni 26</t>
  </si>
  <si>
    <r>
      <rPr>
        <rFont val="Calibri"/>
        <color theme="1"/>
        <sz val="9.0"/>
      </rPr>
      <t xml:space="preserve">Sudah dibayar </t>
    </r>
    <r>
      <rPr>
        <rFont val="Calibri"/>
        <b/>
        <color theme="1"/>
        <sz val="9.0"/>
      </rPr>
      <t>15 Juli 26</t>
    </r>
  </si>
  <si>
    <t xml:space="preserve">Ban Dalam Profit </t>
  </si>
  <si>
    <t>Kembar Ban Pati</t>
  </si>
  <si>
    <t>Meditran SX 1 liter</t>
  </si>
  <si>
    <t>Filter Oli HOP</t>
  </si>
  <si>
    <t>Karet Stabilizer Hop</t>
  </si>
  <si>
    <t xml:space="preserve">Engkel Kanan Kiri </t>
  </si>
  <si>
    <t>Baut Stabil Panjang</t>
  </si>
  <si>
    <t>Radiator Baru PTC RA0341</t>
  </si>
  <si>
    <t>Indah Jaya Kudus</t>
  </si>
  <si>
    <t>Bocor Lagi</t>
  </si>
  <si>
    <t>Jasa Ganti Karet Stabil Engkel Kanan Kiri 4 pcs</t>
  </si>
  <si>
    <t>Servis + Ganti Oli Mesin+ Filter Oli Mesin + Filter Solar Atas Bawah</t>
  </si>
  <si>
    <t>KM GPS 642.939</t>
  </si>
  <si>
    <t>Bleeding Minyak Rem</t>
  </si>
  <si>
    <r>
      <rPr>
        <rFont val="Calibri"/>
        <color theme="1"/>
        <sz val="9.0"/>
      </rPr>
      <t xml:space="preserve">Sudah dibayar </t>
    </r>
    <r>
      <rPr>
        <rFont val="Calibri"/>
        <b/>
        <color theme="1"/>
        <sz val="9.0"/>
      </rPr>
      <t>15 Juli 26</t>
    </r>
  </si>
  <si>
    <t xml:space="preserve">Jasa Ganti Radiator </t>
  </si>
  <si>
    <t>Tgl 15 Juli 26, Insentif 480.000, klaim 258.800, Tab 300.000 Total 521.200</t>
  </si>
  <si>
    <t>Service Gas Berat</t>
  </si>
  <si>
    <t xml:space="preserve">Mitra Diesel </t>
  </si>
  <si>
    <t>SUPERIOR PRIMA SUKSES (LAMONGAN)</t>
  </si>
  <si>
    <t>Ganti Filter Solar Atas Bawah</t>
  </si>
  <si>
    <t>Coolant Mega Cool</t>
  </si>
  <si>
    <t>Sudah dibayar 7 Juli 26</t>
  </si>
  <si>
    <t>2 Galon</t>
  </si>
  <si>
    <r>
      <t>Stok Filter Solar Atas Bawah 0 pcs, KM GPS 642.939 (</t>
    </r>
    <r>
      <rPr>
        <rFont val="Arial"/>
        <b/>
        <color theme="1"/>
        <sz val="11.0"/>
      </rPr>
      <t>Atas 14.912, Bawah 10.882</t>
    </r>
    <r>
      <rPr>
        <rFont val="Arial"/>
        <color theme="1"/>
        <sz val="11.0"/>
      </rPr>
      <t>)</t>
    </r>
  </si>
  <si>
    <t>STNK 9/12</t>
  </si>
  <si>
    <t>Coolant Master</t>
  </si>
  <si>
    <t>CITICON (MOJOSARI)</t>
  </si>
  <si>
    <t>GPS Easygo (SI) 8/12</t>
  </si>
  <si>
    <t>Jebol Klem</t>
  </si>
  <si>
    <t>Klem</t>
  </si>
  <si>
    <t>Ban Profit ADVANCE 1000 Kawat Set</t>
  </si>
  <si>
    <t>GPS Inova Track (SBI) 7/12</t>
  </si>
  <si>
    <t>Ban Bekas Depan Bocor Terus &amp; Tipis</t>
  </si>
  <si>
    <t>Tidak potong</t>
  </si>
  <si>
    <t>Kabel AWO</t>
  </si>
  <si>
    <t xml:space="preserve">Potongan LJU belum dipotong </t>
  </si>
  <si>
    <t>Lampu LED Pelindung Kanan</t>
  </si>
  <si>
    <t>8 pcs</t>
  </si>
  <si>
    <t>Lampu LED Pelindung Kanan mati semua, sort</t>
  </si>
  <si>
    <t>Perbaikkan Lampu Led Sort</t>
  </si>
  <si>
    <t>Ban Depan Bekas Dijual</t>
  </si>
  <si>
    <t>Relay</t>
  </si>
  <si>
    <t>Tambal Ban Caping Ban Demak</t>
  </si>
  <si>
    <t>Repair Pasang &amp; Cat Bumper Depan (modifikasi) Tidak Masuk Tagihan</t>
  </si>
  <si>
    <t>Jasa Ganti Ban</t>
  </si>
  <si>
    <t>Mas Yon 200rb</t>
  </si>
  <si>
    <t>Sudah dibayar 13 Juli 26</t>
  </si>
  <si>
    <t>Tambahan Uang Nginep Bawen</t>
  </si>
  <si>
    <t>lebih 150 kg, terbayar. Pot 100.000 (2ton)</t>
  </si>
  <si>
    <t>Tambal Ban</t>
  </si>
  <si>
    <t>1 Galon</t>
  </si>
  <si>
    <t>Jasa Orang Nyuci</t>
  </si>
  <si>
    <t>3 Ban 1000 bekasi Pengganti Dari Iyu Dijual</t>
  </si>
  <si>
    <t>Mas Mawan</t>
  </si>
  <si>
    <t xml:space="preserve">Belum Bayar </t>
  </si>
  <si>
    <t>Las Dodok Tambal Lantai Kabin Kanan &amp; Kiri</t>
  </si>
  <si>
    <t>Lantai Kabin Kropos</t>
  </si>
  <si>
    <t>Anang Jaya Ban Tuban</t>
  </si>
  <si>
    <t xml:space="preserve">Semprot Radiator </t>
  </si>
  <si>
    <t>Tambal Ban + Impact</t>
  </si>
  <si>
    <t>Kurang 410kg, 35.88 jadi 35.47</t>
  </si>
  <si>
    <t>SIS Putri Kembar Lasem</t>
  </si>
  <si>
    <t>Bocor di VUB Ngaliyan Arslet</t>
  </si>
  <si>
    <t>28.78 jadi 28.52 selisih 260kg. Pot 100.000 (2ton)</t>
  </si>
  <si>
    <t>INAX (SEMARANG)</t>
  </si>
  <si>
    <t>Stempet Boogie Kanan Kiri</t>
  </si>
  <si>
    <r>
      <t>Perbulan tiap tanggal 25 (</t>
    </r>
    <r>
      <rPr>
        <rFont val="Arial"/>
        <b/>
        <color theme="1"/>
      </rPr>
      <t>Bulan Februari, Maret pending</t>
    </r>
    <r>
      <rPr>
        <rFont val="Arial"/>
        <color theme="1"/>
      </rPr>
      <t>)</t>
    </r>
  </si>
  <si>
    <t xml:space="preserve">Switch Level Radiator </t>
  </si>
  <si>
    <t>Belum Potong</t>
  </si>
  <si>
    <t>RSP Elctric</t>
  </si>
  <si>
    <t>GPS 254.165 KM</t>
  </si>
  <si>
    <t>Karet Manhole Tangki</t>
  </si>
  <si>
    <t>Ganti Filter Solar Atas Bawah + Storing</t>
  </si>
  <si>
    <t>Temen Mas Khoirul</t>
  </si>
  <si>
    <t>Karet Rusak</t>
  </si>
  <si>
    <t>Per Bekas Terjual</t>
  </si>
  <si>
    <t xml:space="preserve">Lem Fox Untuk Manhole </t>
  </si>
  <si>
    <t>Laku 1.400.000 (100.000 Mbah Datuk)</t>
  </si>
  <si>
    <t xml:space="preserve">Toko Akbar Tuban </t>
  </si>
  <si>
    <t>Scotlight Merah 1 meter Kuning 1 meter</t>
  </si>
  <si>
    <t>2 m</t>
  </si>
  <si>
    <t>Cuci Truk HCL 1</t>
  </si>
  <si>
    <t>Pendaftaran Indocement</t>
  </si>
  <si>
    <t>Asiyah</t>
  </si>
  <si>
    <t>Sudah dibayar 20 Juli 26</t>
  </si>
  <si>
    <t>Scotlight Merah 2.5 meter</t>
  </si>
  <si>
    <t>2.5 m</t>
  </si>
  <si>
    <t>Baut Roda</t>
  </si>
  <si>
    <t>Handle Kaca Kanan</t>
  </si>
  <si>
    <t>9 pcs</t>
  </si>
  <si>
    <t>Handle Patah</t>
  </si>
  <si>
    <t>Klem Aki +-</t>
  </si>
  <si>
    <t xml:space="preserve">Las Tambal Knalpot </t>
  </si>
  <si>
    <t>Kepala Aki Abis</t>
  </si>
  <si>
    <t>Sepul Aki+Storing</t>
  </si>
  <si>
    <t>Oli Meditran SX 15 Liter</t>
  </si>
  <si>
    <t>15 Liter</t>
  </si>
  <si>
    <t>GPS 255.392 KM, Truk 255.635</t>
  </si>
  <si>
    <t>Ring Tembaga Booster Pump</t>
  </si>
  <si>
    <t>Rembes Booster Pump</t>
  </si>
  <si>
    <t>STNK 10/12</t>
  </si>
  <si>
    <t>Klem Selang Solar</t>
  </si>
  <si>
    <t xml:space="preserve">Stempet </t>
  </si>
  <si>
    <t>Filter Oli Hino</t>
  </si>
  <si>
    <t>Sudah dibayar 24 Juli 26</t>
  </si>
  <si>
    <t>GPS Easygo (SI) 9/12</t>
  </si>
  <si>
    <t>Kurang 260kg, 34.96 jadi 34.74</t>
  </si>
  <si>
    <t xml:space="preserve">Jasa Service Oli Mesin + Masuk Angin </t>
  </si>
  <si>
    <t>GPS Inova Track (SBI) 8/12</t>
  </si>
  <si>
    <t>GPS 255.392 KM, Truk 255.635 Diskon Mbah datuk</t>
  </si>
  <si>
    <t>Tambal Ban Adi Jaya</t>
  </si>
  <si>
    <t>4 Sisi</t>
  </si>
  <si>
    <t xml:space="preserve">Coolant Hikari </t>
  </si>
  <si>
    <t>Door Lock Pintu Lohan Kanan</t>
  </si>
  <si>
    <t>Cross Joint Hori</t>
  </si>
  <si>
    <t>Kran Klakson 1/4</t>
  </si>
  <si>
    <t>29.76 jadi 29.53 selisih 230kg</t>
  </si>
  <si>
    <t>L Selang Angin</t>
  </si>
  <si>
    <t>Sok Selang 6mm</t>
  </si>
  <si>
    <t xml:space="preserve">Engine Mounting Depan Kanan Kiri </t>
  </si>
  <si>
    <t>Jasa Ganti Cross Joint Hori</t>
  </si>
  <si>
    <t>Snel Rem</t>
  </si>
  <si>
    <t>Jasa Bongkar Pasang Pipa Air Turbo</t>
  </si>
  <si>
    <t xml:space="preserve">Jasa Pasang Selang Klakson </t>
  </si>
  <si>
    <t>Stempet Kobra</t>
  </si>
  <si>
    <t>Seal Rem Belakang Kiri Tronton</t>
  </si>
  <si>
    <t>Pipa Air Turbo</t>
  </si>
  <si>
    <t>Ganti Yg Di las</t>
  </si>
  <si>
    <t>Setting Mesin</t>
  </si>
  <si>
    <t>Pak PO Lasem</t>
  </si>
  <si>
    <t>Tambal Ban + Imapct</t>
  </si>
  <si>
    <t>Tambal Ban Lubung Pangan Lasem</t>
  </si>
  <si>
    <t>Jasa Ganti Seal Rem Belakang Kiri Tronton</t>
  </si>
  <si>
    <t>Marset Ban Ori Bekas</t>
  </si>
  <si>
    <t>Mr. Ban Kaliori</t>
  </si>
  <si>
    <t>Ban Tronton Dalam Kanan Bocor Marset Ngelempit</t>
  </si>
  <si>
    <t>Jasa Rem Belakang Kiri Engkel Macet</t>
  </si>
  <si>
    <t xml:space="preserve">Marset Ban Doublean </t>
  </si>
  <si>
    <t>Repair Kit Snel Rem</t>
  </si>
  <si>
    <t>Impact+Tambal+Dongkrak</t>
  </si>
  <si>
    <t>Tambah Angin + Impek 2 Roda Tronton Kanan</t>
  </si>
  <si>
    <t>Jasa Ganti Engine Mounting</t>
  </si>
  <si>
    <t>Lingkar Demak</t>
  </si>
  <si>
    <t>Ban Tronton Dalam Kanan Bawaan (Ban April 2024) Pecah Samping + Velg Pecah</t>
  </si>
  <si>
    <t>Cross Joint Hori Depan</t>
  </si>
  <si>
    <t>Jasa Ganti Cross Joint Hori Depan</t>
  </si>
  <si>
    <r>
      <t>Perbulan tiap tanggal 25 (</t>
    </r>
    <r>
      <rPr>
        <rFont val="Arial"/>
        <b/>
        <color theme="1"/>
      </rPr>
      <t>Bulan Februari, Maret Pending, April Stop bikin 0</t>
    </r>
    <r>
      <rPr>
        <rFont val="Arial"/>
        <color theme="1"/>
      </rPr>
      <t>)</t>
    </r>
  </si>
  <si>
    <t>JATI KENCANA BETON (SEMARANG)</t>
  </si>
  <si>
    <t>Filter Solar Atas Hino, Bawah Nissan</t>
  </si>
  <si>
    <t>2 Set</t>
  </si>
  <si>
    <t>Ban Duraturn 1100 Set 09/26 2pcs (6032902274 6032902112) KM648.395</t>
  </si>
  <si>
    <t>Stok Filter Solar Atas 1pcs, Bawah 1 pcs</t>
  </si>
  <si>
    <t>Bakoel Ban Truk Demak</t>
  </si>
  <si>
    <t>Ban Engkel Dalam Pecah 1 (Ban lama bawan Truk) Cadangan Tambah 1, sm Bekas Iyus 1. Ban baru pasang didepan, depan turun ke engkel kanan</t>
  </si>
  <si>
    <t>Marset Tipis Untuk Doubelan</t>
  </si>
  <si>
    <t>31,04 jadi 29.04 selisih 100kg</t>
  </si>
  <si>
    <t>Bongkar Pasang Ban Baru Depan, Belakang Engkel Kanan</t>
  </si>
  <si>
    <t>Tambal Ban Kotak Demak</t>
  </si>
  <si>
    <t xml:space="preserve">Impact </t>
  </si>
  <si>
    <t>Stempet Komplit</t>
  </si>
  <si>
    <t xml:space="preserve">Pengecekkan Boost Pump </t>
  </si>
  <si>
    <t>Tambal SIS Putri Kembar Rembang</t>
  </si>
  <si>
    <t xml:space="preserve">Pak Dedy Tuban </t>
  </si>
  <si>
    <t>Semprot Radiator + Filter Udara</t>
  </si>
  <si>
    <t>Las Spakbor &amp; Pasang Karpet Spakbor Belakang</t>
  </si>
  <si>
    <t>Perbaikkan Kaca Kanan Anjlok &amp; Chuke</t>
  </si>
  <si>
    <t>Kurang 220kg, 32.96 jadi 32.74</t>
  </si>
  <si>
    <t>KM GPS 649.233, Stok Filter Atas 1 Bawah 0</t>
  </si>
  <si>
    <t>Temen Mas Rul Sluke</t>
  </si>
  <si>
    <t>Tambel + Impact</t>
  </si>
  <si>
    <t>MIWA JAYA ABADI MUNTILAN (MAGELANG)</t>
  </si>
  <si>
    <t>Tambal Teguh Jaya Pati</t>
  </si>
  <si>
    <t>Bocor Tronton Kiri Dalam, MARSET rusak semua</t>
  </si>
  <si>
    <t>Marset + Doubelan Marset</t>
  </si>
  <si>
    <t>Baut Patah 2</t>
  </si>
  <si>
    <t>STNK 11/12</t>
  </si>
  <si>
    <t>Sudah dibayar 4 Agst 26</t>
  </si>
  <si>
    <t>29,74 jadi 29,75 lebih 10 kg (tidak dibayar sekarang lebih sejak 1 Jan 26). Mas Andy yang bawa</t>
  </si>
  <si>
    <t>GPS Easygo (SI) 10/12</t>
  </si>
  <si>
    <t>GPS Inova Track (SBI) 9/12</t>
  </si>
  <si>
    <t>Tambal Ban Dulur Demak</t>
  </si>
  <si>
    <t>Jasa Dongkrak</t>
  </si>
  <si>
    <t>Tambal Ban Adi Jaya Tuban</t>
  </si>
  <si>
    <t>Mas Andy yang bawa</t>
  </si>
  <si>
    <t>Ganti Baut Roda + Impcat</t>
  </si>
  <si>
    <t>Pakai 2 Stok Baut Roda, Sisa stock baut roda 2 pcs kanan</t>
  </si>
  <si>
    <t>Kurang 490kg, 33.54 jadi 33.05</t>
  </si>
  <si>
    <t>Service Kunci Pintu Tidak Bisa Dibuka</t>
  </si>
  <si>
    <t xml:space="preserve">Ambarawa </t>
  </si>
  <si>
    <t>Jasa Ganti Pen Per Kiri Depan</t>
  </si>
  <si>
    <t>Handle Pintu Kiri</t>
  </si>
  <si>
    <t>Pak Khaerudin Kudus Mitra Diesel</t>
  </si>
  <si>
    <t>Pin Paling Depan Kiri Patah</t>
  </si>
  <si>
    <t>Patah</t>
  </si>
  <si>
    <t>Seal Tromol Belakang Kanan</t>
  </si>
  <si>
    <t>Pen Per Depan</t>
  </si>
  <si>
    <t xml:space="preserve">Ban GITI PROFIT Set 1000 R20 Tronton Kanan Luar </t>
  </si>
  <si>
    <t>Sunduk Per Belakang Kanan</t>
  </si>
  <si>
    <t>Kilometer GPS 259.037,84. Ban Engkel Kiri luar Pecah di VUB Semarang kena pembatas timbangan</t>
  </si>
  <si>
    <t>Patah, per geser</t>
  </si>
  <si>
    <t>Bongkar Pasang Ban GITI Baru Tronton Kanan Luar + Impact</t>
  </si>
  <si>
    <t>Klaker Atau Bearing Belakang Luar Kanan Koyo 32217</t>
  </si>
  <si>
    <t xml:space="preserve">Tambal Ban Caping Gunung </t>
  </si>
  <si>
    <t>Oper Ban GITI Tronton Kanan Luar Ke Engkel Kiri Luar</t>
  </si>
  <si>
    <t>Bushing Perseneling Wakasa</t>
  </si>
  <si>
    <t>Jasa Ganti Sunduk Per Belakang</t>
  </si>
  <si>
    <t>Kurang 340kg, 32.18 jadi 31,84</t>
  </si>
  <si>
    <t>Jasa Stel Rem, Handrem, Bearing, Bushing Perseneling</t>
  </si>
  <si>
    <t>Tambal Ban Guntur Putra Pati Juwana</t>
  </si>
  <si>
    <t>Ganti Filter Solar Hino Ke Rumah &amp; filter Nissan bekas</t>
  </si>
  <si>
    <t>Mas Rul ganti bersama Oky</t>
  </si>
  <si>
    <t>KM 259.631</t>
  </si>
  <si>
    <r>
      <t>Perbulan tiap tanggal 25 (</t>
    </r>
    <r>
      <rPr>
        <rFont val="Arial"/>
        <b/>
        <color theme="1"/>
      </rPr>
      <t>Februari Pending</t>
    </r>
    <r>
      <rPr>
        <rFont val="Arial"/>
        <color theme="1"/>
      </rPr>
      <t>)</t>
    </r>
  </si>
  <si>
    <t>Semprot Filter Hore</t>
  </si>
  <si>
    <t>Kir Mas Mawan</t>
  </si>
  <si>
    <t>Jasa Bongkar Pasang Karet Stabilizer Engkel Kanan Kiri</t>
  </si>
  <si>
    <t>STNK 12/12</t>
  </si>
  <si>
    <t>Sluke</t>
  </si>
  <si>
    <t>Stempet Boogie + Per Depan</t>
  </si>
  <si>
    <t>Kontrol Angin Ban</t>
  </si>
  <si>
    <t>Filter Solar Bawah HOP</t>
  </si>
  <si>
    <t>Lancar Jenu</t>
  </si>
  <si>
    <t>Stok filter solar atas 1 beli di- Nova, Bawah 1 beli di- Nova</t>
  </si>
  <si>
    <t>Setel Stir</t>
  </si>
  <si>
    <t>Temen mas Rul</t>
  </si>
  <si>
    <t>Stok filter solar atas 1, Bawah 2</t>
  </si>
  <si>
    <t>GPS Easygo (SI) 11/12</t>
  </si>
  <si>
    <t>GPS Inova Track (SBI) 10/12</t>
  </si>
  <si>
    <t>KM 260.696,Stok Filter Solar Atas 0 pcs, Bawah 0 pcs</t>
  </si>
  <si>
    <t>Pak Udin Stop</t>
  </si>
  <si>
    <t xml:space="preserve">Las Selebor Belakang </t>
  </si>
  <si>
    <t>VARIA USAHA BETON (SAYUNG)</t>
  </si>
  <si>
    <t xml:space="preserve">Pasang Baut Roda </t>
  </si>
  <si>
    <t>Tambal Ban Via Tuban</t>
  </si>
  <si>
    <t xml:space="preserve">Engkel Kiri </t>
  </si>
  <si>
    <t>Oper Velg</t>
  </si>
  <si>
    <t>Meditran SX 14 Liter</t>
  </si>
  <si>
    <t>14 liter</t>
  </si>
  <si>
    <t>KM GPS 656.062</t>
  </si>
  <si>
    <t>Tuker dengan Ban Cadangan</t>
  </si>
  <si>
    <t>Filter Oli</t>
  </si>
  <si>
    <t xml:space="preserve">Kontrol Baut Roda </t>
  </si>
  <si>
    <t>Nova</t>
  </si>
  <si>
    <t>Stok Filter Oli 0</t>
  </si>
  <si>
    <t>Seal Tromol</t>
  </si>
  <si>
    <t>Ganti Ban Dalam</t>
  </si>
  <si>
    <t>Caping Demak</t>
  </si>
  <si>
    <t>Bocor Engkel Kiri Luar</t>
  </si>
  <si>
    <t>Cuci Truk Temen Mas Khoirul</t>
  </si>
  <si>
    <t xml:space="preserve">Jasa Ganti Karet Stabil </t>
  </si>
  <si>
    <t>REMBANG SALATIGA</t>
  </si>
  <si>
    <t>Jasa Ganti Seal Tromol Rem Depan</t>
  </si>
  <si>
    <t>Servis Oli Mesin, Filter Oli, Filter Solar Atas Bawah</t>
  </si>
  <si>
    <t>Cat Bee Brand 166 Mayan Yellow</t>
  </si>
  <si>
    <t>KM GPS 656.062, Stok filter solar atas 0, Bawah 1</t>
  </si>
  <si>
    <t>1 kg</t>
  </si>
  <si>
    <t>Bintang Arut Lasem</t>
  </si>
  <si>
    <t xml:space="preserve">Cat Pelindung Samping, Slebor &amp; Pipa </t>
  </si>
  <si>
    <t>Jasa Ganti Snel Rem</t>
  </si>
  <si>
    <t>Cat Bee Brand 9109 Super White</t>
  </si>
  <si>
    <t>0.4 L</t>
  </si>
  <si>
    <t>Amplas Essen</t>
  </si>
  <si>
    <t>0.5 m</t>
  </si>
  <si>
    <t>STNK 1/12 2026</t>
  </si>
  <si>
    <t>Kuas 2" Eterna</t>
  </si>
  <si>
    <t>Thiner Nippon 9000B</t>
  </si>
  <si>
    <t>Thiner B</t>
  </si>
  <si>
    <t>Ban Duraturn 1100</t>
  </si>
  <si>
    <t xml:space="preserve">Jas Temen Mas Khoirul </t>
  </si>
  <si>
    <t>Bongkar Pasang Ban Baru</t>
  </si>
  <si>
    <r>
      <t>Perbulan tiap tanggal 25 (</t>
    </r>
    <r>
      <rPr>
        <rFont val="Arial"/>
        <b/>
        <color theme="1"/>
      </rPr>
      <t>Februari, Maret Pending</t>
    </r>
    <r>
      <rPr>
        <rFont val="Arial"/>
        <color theme="1"/>
      </rPr>
      <t>)</t>
    </r>
  </si>
  <si>
    <t>Adi Jaya Iyus</t>
  </si>
  <si>
    <t xml:space="preserve">Jasa Bongkar Pasang Baut Roda </t>
  </si>
  <si>
    <t xml:space="preserve">Semprot Filter </t>
  </si>
  <si>
    <t>Cuci HCL</t>
  </si>
  <si>
    <t>GPS Easygo (SI) 12/12</t>
  </si>
  <si>
    <t xml:space="preserve">Lem Fox Buat Karet Manhole </t>
  </si>
  <si>
    <t>GPS Inova Track (SBI) 11/12</t>
  </si>
  <si>
    <t>Karet Stabil Sudah Dipasang</t>
  </si>
  <si>
    <t>Temen Mas Yon</t>
  </si>
  <si>
    <t>Valve Tangki</t>
  </si>
  <si>
    <t xml:space="preserve">Beli April </t>
  </si>
  <si>
    <t>Jasa Ganti Filter Solar Atas Bawah</t>
  </si>
  <si>
    <t>Jasa Ganti Valve</t>
  </si>
  <si>
    <t>Pak Yanto Tangki</t>
  </si>
  <si>
    <t>Kasbon 700+lampu200</t>
  </si>
  <si>
    <t>Klem Aki</t>
  </si>
  <si>
    <t>Perbaikkan Ganti Kaca Kontrol Oli Hori</t>
  </si>
  <si>
    <t>Sepul Aki</t>
  </si>
  <si>
    <t>Rembes oli dari kaca intip</t>
  </si>
  <si>
    <t>Las Pipa Pendorong</t>
  </si>
  <si>
    <t>September</t>
  </si>
  <si>
    <t>Barcode Truk H81833OF</t>
  </si>
  <si>
    <t>Servis Radiator Sogrok + Tambal Bocor + Storing + Bongkar Pasang</t>
  </si>
  <si>
    <t>Enggal Maju Tuban</t>
  </si>
  <si>
    <t>Stok Coolant</t>
  </si>
  <si>
    <t>Packing Head Marusan</t>
  </si>
  <si>
    <t>Oktober</t>
  </si>
  <si>
    <t>Lem Gasket</t>
  </si>
  <si>
    <t>Lem Treebon</t>
  </si>
  <si>
    <t>Khoirul Tab+ins</t>
  </si>
  <si>
    <t xml:space="preserve">Jasa Bongkar Pasang Seal Tromol Belakang Engkel Kiri </t>
  </si>
  <si>
    <t>Sudah dibayar 17 mar 26</t>
  </si>
  <si>
    <t>November</t>
  </si>
  <si>
    <t>Liner NPR 3mm 650rb</t>
  </si>
  <si>
    <t xml:space="preserve">6 pcs </t>
  </si>
  <si>
    <t>Surabaya (Pak Dedi)</t>
  </si>
  <si>
    <t>Jasa Ganti Packing Head dan Storing</t>
  </si>
  <si>
    <t>klaim 805.530+2.060 HWT sudah (April Mei)</t>
  </si>
  <si>
    <t>Tab diambil untuk Bando variasi 1 juta</t>
  </si>
  <si>
    <t>Ring Piston</t>
  </si>
  <si>
    <t>Pak Po</t>
  </si>
  <si>
    <t>Bagi Hasil 25 Jul-31 Agu 2025</t>
  </si>
  <si>
    <t>Makan tim pak Po</t>
  </si>
  <si>
    <t xml:space="preserve">Desember </t>
  </si>
  <si>
    <t xml:space="preserve">Metal Jalan Standar </t>
  </si>
  <si>
    <t>Profit Mas Dhian</t>
  </si>
  <si>
    <t>Yono belum potong smp juni</t>
  </si>
  <si>
    <t>Tab 12 Mei 26 bayar Bando</t>
  </si>
  <si>
    <t xml:space="preserve">Pemasukkan </t>
  </si>
  <si>
    <t>Bensin bersih-bersih</t>
  </si>
  <si>
    <t xml:space="preserve">Klaim tonase dan Ban Belum </t>
  </si>
  <si>
    <t>Packing Kalter</t>
  </si>
  <si>
    <t>Januari</t>
  </si>
  <si>
    <t>Baut Roda Baru</t>
  </si>
  <si>
    <t>Lem Trebond Abu2</t>
  </si>
  <si>
    <t>Jasa Bongkar Pasangan Baut Roda Engkel Kanan</t>
  </si>
  <si>
    <t>Lem Booster</t>
  </si>
  <si>
    <t xml:space="preserve">Bulan </t>
  </si>
  <si>
    <t>Stok Baut Roda Belakang Kanan Habis, Terpakai 1. Sisa Kiri 5 pcs</t>
  </si>
  <si>
    <t xml:space="preserve">Pengeluaran </t>
  </si>
  <si>
    <t>Februari</t>
  </si>
  <si>
    <t>Sudah potong smp 15 juni 2 juta</t>
  </si>
  <si>
    <t xml:space="preserve">Ongkir </t>
  </si>
  <si>
    <t>Pinjam</t>
  </si>
  <si>
    <t>Repair Valve Ganti Karet</t>
  </si>
  <si>
    <t>Pengeluaran 25 Jul-31 Agu</t>
  </si>
  <si>
    <t>Packing Silinder HOP</t>
  </si>
  <si>
    <t>Bongkar Pasang Valve Nomer 1 Kena Besi (Ganti 1 Valve Repair)</t>
  </si>
  <si>
    <t>Juni</t>
  </si>
  <si>
    <t>Maret</t>
  </si>
  <si>
    <t>Oli Mesin SX 10 liter</t>
  </si>
  <si>
    <t>Vet Komplit</t>
  </si>
  <si>
    <t>Sis Putri Kembar</t>
  </si>
  <si>
    <t>Cat Bumper</t>
  </si>
  <si>
    <t xml:space="preserve">Komisi Hafidz </t>
  </si>
  <si>
    <t>Oli Mesin SX 4 liter</t>
  </si>
  <si>
    <t>Juli</t>
  </si>
  <si>
    <t>April</t>
  </si>
  <si>
    <t>Selang Kompresor</t>
  </si>
  <si>
    <t>Mas Yono</t>
  </si>
  <si>
    <t xml:space="preserve">Mei </t>
  </si>
  <si>
    <t>Hikari Hijau</t>
  </si>
  <si>
    <t>Sudah di TF 17 MARET 26</t>
  </si>
  <si>
    <t>Pembagian 50jt/580jt</t>
  </si>
  <si>
    <t>Lampu LED Rem</t>
  </si>
  <si>
    <t>Fuel Oli Lohan</t>
  </si>
  <si>
    <t>RSP Electric Diki</t>
  </si>
  <si>
    <t>OK Deal</t>
  </si>
  <si>
    <t>Agustus</t>
  </si>
  <si>
    <t xml:space="preserve">Tutup Radiator </t>
  </si>
  <si>
    <t xml:space="preserve">Beli Valve Bongakaran </t>
  </si>
  <si>
    <t>Mas Rul 1 Valve, mas Yon 2 Valve 24 juli</t>
  </si>
  <si>
    <t>Las Napel Per Belakang (aus)</t>
  </si>
  <si>
    <t>GPS Easygo (SI) 1/12</t>
  </si>
  <si>
    <t>Las Kuningan Pipa Air Turbo</t>
  </si>
  <si>
    <t>Pembagian 50jt/600jt</t>
  </si>
  <si>
    <t>Pak Dek Klep Lohan Bawah</t>
  </si>
  <si>
    <t>Koreksi</t>
  </si>
  <si>
    <t>GPS Inova Track (SBI) 12/12</t>
  </si>
  <si>
    <t xml:space="preserve">Stop GPS </t>
  </si>
  <si>
    <t xml:space="preserve">Ganti Karet Manhole Tangki + Pasang </t>
  </si>
  <si>
    <t xml:space="preserve">Tambal Ban Cadangan + Impact </t>
  </si>
  <si>
    <t>Adi Jaya Ban Tuban Iyus</t>
  </si>
  <si>
    <t>Kontrol Angin + Tambah Angin</t>
  </si>
  <si>
    <t>Jasa OH Dodos Mesin</t>
  </si>
  <si>
    <t>Storing 5 hari</t>
  </si>
  <si>
    <t>Bensin Botol Aqua</t>
  </si>
  <si>
    <t>5 galon</t>
  </si>
  <si>
    <t>Jas Ganti Kabel Cuk Gas</t>
  </si>
  <si>
    <t>Per Gas</t>
  </si>
  <si>
    <t>Kajar Motor Lasem</t>
  </si>
  <si>
    <t xml:space="preserve">Cuk Sering Nyangkut </t>
  </si>
  <si>
    <t>Kabel Gas Lohan</t>
  </si>
  <si>
    <t>Kabel Tis</t>
  </si>
  <si>
    <t>Profit Hafidz 50/580</t>
  </si>
  <si>
    <t>KM 263.019,Stok Filter Solar Atas 0 pcs, Bawah 0 pcs</t>
  </si>
  <si>
    <t>Jasa Bongkar Pasang Tangki Solar (Kuras)</t>
  </si>
  <si>
    <t>Las Bedel Tangki Solar</t>
  </si>
  <si>
    <t>Desember</t>
  </si>
  <si>
    <t>Las Kendangan Knalpot + Ganti Baut Gantungan Knalpot</t>
  </si>
  <si>
    <t>Jasa Storing</t>
  </si>
  <si>
    <t xml:space="preserve">Las </t>
  </si>
  <si>
    <t>Oli Meditran SX 4 Liter</t>
  </si>
  <si>
    <t>Dibagi 2 mas Yon rencana</t>
  </si>
  <si>
    <t>Pipa Nozzle Lohan No 1</t>
  </si>
  <si>
    <t>Profit Hafidz 50/600</t>
  </si>
  <si>
    <t>Cuci Bagi 2 Kena Batu Bara Lagi</t>
  </si>
  <si>
    <t xml:space="preserve">Rencana Dikembalikan </t>
  </si>
  <si>
    <t>Coolant Hikari Hijau 5 Liter</t>
  </si>
  <si>
    <t>UJ Kosongan SI Tuban ke SI Rembang</t>
  </si>
  <si>
    <t>Kawel Tangki ukuran 9x50</t>
  </si>
  <si>
    <t>Packing Head Hipop</t>
  </si>
  <si>
    <t>Lancar Lasem</t>
  </si>
  <si>
    <t>Coolant Hipop 4 liter</t>
  </si>
  <si>
    <t>Ring Baut Solar 14mm</t>
  </si>
  <si>
    <t xml:space="preserve">Maret </t>
  </si>
  <si>
    <t>Lem Trebond</t>
  </si>
  <si>
    <t xml:space="preserve">Lasem </t>
  </si>
  <si>
    <t>Lem Besi</t>
  </si>
  <si>
    <t>Lasem</t>
  </si>
  <si>
    <t>Bensin Untuk Cleaning</t>
  </si>
  <si>
    <t>2 botol</t>
  </si>
  <si>
    <t>Baut 14mm</t>
  </si>
  <si>
    <t>Ring</t>
  </si>
  <si>
    <t>Jas Ganti Packing Head kedua</t>
  </si>
  <si>
    <t xml:space="preserve">Klaim </t>
  </si>
  <si>
    <t>Mei</t>
  </si>
  <si>
    <t xml:space="preserve">Total </t>
  </si>
  <si>
    <t>Klaim</t>
  </si>
  <si>
    <t>Coolant pas turun setengah</t>
  </si>
  <si>
    <t>Truk</t>
  </si>
  <si>
    <t>STNK + Jasa Lain2</t>
  </si>
  <si>
    <t xml:space="preserve">Baut Baja M30 Untuk Tangki Semen ke Chasis </t>
  </si>
  <si>
    <t>Klaim Sudah Masuk Rumus</t>
  </si>
  <si>
    <t>Jasa Pasang Kawel Tangki Semen ke Chassis + Besi Bekas</t>
  </si>
  <si>
    <t>GPS</t>
  </si>
  <si>
    <t xml:space="preserve">Las Antena + Lubang Baut Kawel Belakang </t>
  </si>
  <si>
    <t xml:space="preserve">Lokasi Pom Bongkar Mesin </t>
  </si>
  <si>
    <t xml:space="preserve">Agustus </t>
  </si>
  <si>
    <t>SIMULASI</t>
  </si>
  <si>
    <t>Uang Solar Bensin Mas Rul</t>
  </si>
  <si>
    <t xml:space="preserve">September </t>
  </si>
  <si>
    <t>Ban Terjual 2.000.000</t>
  </si>
  <si>
    <t>Pengeluaran</t>
  </si>
  <si>
    <t>Pak Udin Stop 300.000</t>
  </si>
  <si>
    <t>Total Koreksi</t>
  </si>
  <si>
    <t>April Khusus Mas Dhian Tgl 1-23</t>
  </si>
  <si>
    <t>Perbaikkan dari 25 Juli</t>
  </si>
  <si>
    <t>Sebelum 25 Juli</t>
  </si>
  <si>
    <t>Tanpa Profit Hafidz</t>
  </si>
  <si>
    <t>Total Koreksi Dari 25 Juli</t>
  </si>
  <si>
    <t>Perbaikkan dari 25 Sep</t>
  </si>
  <si>
    <t>Pembagian 75jt/580jt</t>
  </si>
  <si>
    <t>Pembagian 4jt/580jt</t>
  </si>
  <si>
    <t>Filter Solar Bawah Nissan</t>
  </si>
  <si>
    <t>Stok Filter Solar Atas 1 pcs, Bawah nissan 1 pcs, Bawah HOP 1 pcs</t>
  </si>
  <si>
    <t>Profit Hafidz</t>
  </si>
  <si>
    <t xml:space="preserve">Filter Solar Atas </t>
  </si>
  <si>
    <t>Bagi Hasil 1-30 Sep 2025</t>
  </si>
  <si>
    <t>Cross Joint</t>
  </si>
  <si>
    <t>Kran Angin 3/4</t>
  </si>
  <si>
    <t>Pengeluaran 1-31 Sep 2025</t>
  </si>
  <si>
    <t>L Bow Kran</t>
  </si>
  <si>
    <t>Sambungan Selang 6 mm</t>
  </si>
  <si>
    <t>Jasa Ganti Cross Joint</t>
  </si>
  <si>
    <t>Packing PTO Bocor</t>
  </si>
  <si>
    <t>Jasa Pasang Kran Angin</t>
  </si>
  <si>
    <t>Alfiah Richi 50jt/580jt</t>
  </si>
  <si>
    <t>Stel Gas Macet</t>
  </si>
  <si>
    <t>Bengkel Perbaikan Joint Hori Patah 100+Las 45</t>
  </si>
  <si>
    <t>Mekanik Plant Jepara</t>
  </si>
  <si>
    <t>Mas Dhian 75jt/580jt</t>
  </si>
  <si>
    <t>Jok Join Join Hori</t>
  </si>
  <si>
    <t>Hadid</t>
  </si>
  <si>
    <t>Las Jok Join Hori</t>
  </si>
  <si>
    <t>Pemasukkan 25-30 Sep 2025</t>
  </si>
  <si>
    <t>Jasa Ganti Jok Joint Hori</t>
  </si>
  <si>
    <t>Pengeluaran 25-30 Sep 2025</t>
  </si>
  <si>
    <t>Jasa Ganti Filter Solar Atas Bawah Nissan</t>
  </si>
  <si>
    <t>Stok Filter Solar Atas 0 pcs, Bawah nissan 0 pcs, Bawah HOP 1 pcs</t>
  </si>
  <si>
    <t>Hadid 4jt/580jt</t>
  </si>
  <si>
    <t>Cylinder Rem Belakang</t>
  </si>
  <si>
    <t>Profit+Komisi</t>
  </si>
  <si>
    <t>Koreksi Profit Total</t>
  </si>
  <si>
    <t>Revisi Bagi Hasil 1-30 Sep 2025</t>
  </si>
  <si>
    <t xml:space="preserve">Jasa Ganti Master Rem Belakang Kiri Tronton </t>
  </si>
  <si>
    <t>Jasa Sock Rumah Boring+Bahan</t>
  </si>
  <si>
    <t>Jasa Center Cylinder Block Kap</t>
  </si>
  <si>
    <t>7 pcs</t>
  </si>
  <si>
    <t>Jasa Las Samping Kap</t>
  </si>
  <si>
    <t>Jasa Bubut Askruk Duduk 25</t>
  </si>
  <si>
    <t>Jasa Poles Askruk Jalan Standar</t>
  </si>
  <si>
    <t>Revisi Sep</t>
  </si>
  <si>
    <t xml:space="preserve">Jasa Tes Kebocoran </t>
  </si>
  <si>
    <t>Jasa Lepas Nozzle</t>
  </si>
  <si>
    <t>Jasa Bubut Rata</t>
  </si>
  <si>
    <t>Jasa Bubut Rata Cylinder Block + Las</t>
  </si>
  <si>
    <t>Packing Silinder Marusan</t>
  </si>
  <si>
    <t>Seal Klep</t>
  </si>
  <si>
    <t>24 pcs</t>
  </si>
  <si>
    <t>Sela As Kruk</t>
  </si>
  <si>
    <t>Metal Jalan</t>
  </si>
  <si>
    <t>Metal Duduk</t>
  </si>
  <si>
    <t>Coolant Prestone 4 liter</t>
  </si>
  <si>
    <t>Oli Meditran SX 10 L</t>
  </si>
  <si>
    <t>KM 266.142</t>
  </si>
  <si>
    <t>Oli Meditran SX 4 L</t>
  </si>
  <si>
    <t>Lem Threebond</t>
  </si>
  <si>
    <t>Tube/Kondom Nozzle</t>
  </si>
  <si>
    <t>Bagi Hasil 1-31 Okt 2025</t>
  </si>
  <si>
    <t>Packing TBA</t>
  </si>
  <si>
    <t>Revisi</t>
  </si>
  <si>
    <t>Kabel Aki Paralel</t>
  </si>
  <si>
    <t>Mas Rul Sumber Agung Sluke</t>
  </si>
  <si>
    <t>Pengeluaran 1-31 Okt 2025</t>
  </si>
  <si>
    <t>Mas Rul Jaya Mustika Sluke</t>
  </si>
  <si>
    <t>Baut 14 inch</t>
  </si>
  <si>
    <t>Jasa Turun Mesin Total</t>
  </si>
  <si>
    <t>Revisi OKT ke 2</t>
  </si>
  <si>
    <t>Transportasi Ke Tuban Bawa Mesin Ke Bengkel Bubut 2x</t>
  </si>
  <si>
    <t>Uang Makan 2x Ke Tuban</t>
  </si>
  <si>
    <t>Ngetips Bengkel Bubut</t>
  </si>
  <si>
    <t>Didapat (dikurangi Revisi Sep)</t>
  </si>
  <si>
    <t xml:space="preserve">Jasa Bubut Piston </t>
  </si>
  <si>
    <t>Seal Cooler</t>
  </si>
  <si>
    <t>Bushing Stang</t>
  </si>
  <si>
    <t>Baut + Nipple Air</t>
  </si>
  <si>
    <t>Bongkar Pasang Ganti Baut Roda Tronton Kiri + Bongkar Pasar Ring</t>
  </si>
  <si>
    <t>Tambal Ban Tiptop Tronton Kiri</t>
  </si>
  <si>
    <t>Potong Baut Tronton Kiri</t>
  </si>
  <si>
    <t>Bagi Hasil 1-30 Nov 2025</t>
  </si>
  <si>
    <t>Lebih</t>
  </si>
  <si>
    <t>Perbaikkan</t>
  </si>
  <si>
    <t>Pengeluaran 1-30 Nov 2025</t>
  </si>
  <si>
    <t xml:space="preserve">Tukar Tambah Velg + Ring untuk Cadangan </t>
  </si>
  <si>
    <t>Deal</t>
  </si>
  <si>
    <t>Tambal Guntur Putra Pati</t>
  </si>
  <si>
    <t>Cadangan velg retak dan ring pecah</t>
  </si>
  <si>
    <t>Bongkar Pasang</t>
  </si>
  <si>
    <t>Jasa Bongkar Pasang Nozzle</t>
  </si>
  <si>
    <t>Jasa Tes Nozzle</t>
  </si>
  <si>
    <t>Storing 80.000 + Makan 65.000</t>
  </si>
  <si>
    <t>Kabel Engine Stop/Cuk</t>
  </si>
  <si>
    <t xml:space="preserve">Tukar Ban + Velg (pecah) + Impact </t>
  </si>
  <si>
    <t>Tambal Manunggal Jaya Demak</t>
  </si>
  <si>
    <t>Pecah Tronron Kiri Dalam (Duraturn Baru)</t>
  </si>
  <si>
    <t>Reset Barcode Solar</t>
  </si>
  <si>
    <t>Mardiyanto</t>
  </si>
  <si>
    <t>Reset ke 3 bayar</t>
  </si>
  <si>
    <t>Bagi Hasil 1-31 Des 2025</t>
  </si>
  <si>
    <t>Tuker Tambah Velg (Pecah)</t>
  </si>
  <si>
    <t>Pak Nur Ban Tuban</t>
  </si>
  <si>
    <t>Didapat Dikurangi</t>
  </si>
  <si>
    <t>Revisi 4 Maret 26 (tidak revisi feb 26)</t>
  </si>
  <si>
    <t>Rotasi Ban</t>
  </si>
  <si>
    <t>Pengeluaran 1-31 Des 2025</t>
  </si>
  <si>
    <t xml:space="preserve">Lancar Jenu </t>
  </si>
  <si>
    <t>Stok Filter Solar Atas 1 pcs, Bawah 0 pcs</t>
  </si>
  <si>
    <t>Oli Gardan 4 liter</t>
  </si>
  <si>
    <t>3 galon</t>
  </si>
  <si>
    <t>Ganti Oli Gardan (Ganti PTO) KM 267.797</t>
  </si>
  <si>
    <t>Tukar Tambah PTO ZF FM 10015T</t>
  </si>
  <si>
    <t>Suara kasar, Oblak gear, resiko patah</t>
  </si>
  <si>
    <t>Jasa Ganti PTO</t>
  </si>
  <si>
    <t xml:space="preserve">Tambal Ban Tronton Kanan Cacat Tapak + Impact </t>
  </si>
  <si>
    <t>Tambal Dadi Banyak Pati</t>
  </si>
  <si>
    <t>Filter Solar Bawah 2</t>
  </si>
  <si>
    <t>Stok Filter Solar Atas 1 pcs, Bawah 2 pcs</t>
  </si>
  <si>
    <t>Tronton Kanan Luar, marset sobek</t>
  </si>
  <si>
    <t>Hadid 9jt/580jt</t>
  </si>
  <si>
    <t>Palu</t>
  </si>
  <si>
    <t>Ketrik area atas tangki</t>
  </si>
  <si>
    <t>Betel</t>
  </si>
  <si>
    <t>Skrap</t>
  </si>
  <si>
    <t>Bagi Hasil 1-31 Jan 2026</t>
  </si>
  <si>
    <t>Ban Engkel Kanan Luar (cacat kena plat) Ban Dalam+Bongkar Pasang+Impact</t>
  </si>
  <si>
    <t>Ega Jaya Ban Tambakboyo</t>
  </si>
  <si>
    <t>Pengeluaran 1-31 Jan 2026</t>
  </si>
  <si>
    <t>Jasa Ganti Karet Stabil</t>
  </si>
  <si>
    <t>Karet Stabil Temen Mas Yono</t>
  </si>
  <si>
    <t>Servis Kaca Pintu Kanan Lepas</t>
  </si>
  <si>
    <t xml:space="preserve">Flasher </t>
  </si>
  <si>
    <t>Kabel Paralel Aki Kebakar</t>
  </si>
  <si>
    <t>Kabel Paralel Tembaga</t>
  </si>
  <si>
    <t>Jasa Perbaikkan</t>
  </si>
  <si>
    <t>Ganti Kabel Serian Aki + Storing</t>
  </si>
  <si>
    <t>Yatno Dinamo</t>
  </si>
  <si>
    <t>Bagi Hasil 1-28 Feb 2026</t>
  </si>
  <si>
    <t>Revisi 3 April 26 (Tambah ke April)</t>
  </si>
  <si>
    <t>Gulung Kabel</t>
  </si>
  <si>
    <t>Pengeluaran 1-28 Feb 2026</t>
  </si>
  <si>
    <t>Dinamo Starter Rusak (garansi 1 bulan)</t>
  </si>
  <si>
    <t>Klaim 629.000</t>
  </si>
  <si>
    <t xml:space="preserve">Ganti Brostel </t>
  </si>
  <si>
    <t>Bikin Bushing</t>
  </si>
  <si>
    <t>Solder Angker</t>
  </si>
  <si>
    <t>Repair Otomatis</t>
  </si>
  <si>
    <t>Servis + Bongkar Pasang + Storing Malam</t>
  </si>
  <si>
    <t>Pasang Valve No 4</t>
  </si>
  <si>
    <t>Ontelan Kaca</t>
  </si>
  <si>
    <t>Kajar Motor</t>
  </si>
  <si>
    <t>Lem Sealer</t>
  </si>
  <si>
    <t>Bagi Hasil 1-31 Mar 2026</t>
  </si>
  <si>
    <t>Ditambah Revisi 3 April 26</t>
  </si>
  <si>
    <t xml:space="preserve">Kontrol Angin + Semprot Filter + Semprot Radiator </t>
  </si>
  <si>
    <t>Guntur Putra Rembang</t>
  </si>
  <si>
    <t>Pengeluaran 1-31 Mar 2026</t>
  </si>
  <si>
    <t>Tuker Tambah Jok + Knalpot</t>
  </si>
  <si>
    <t>Las Knalpot</t>
  </si>
  <si>
    <t>Ban Engkel Kanan Luar Giti 600.000 belum bayar</t>
  </si>
  <si>
    <t xml:space="preserve">Impect </t>
  </si>
  <si>
    <t xml:space="preserve">Jasa Perbaikan Bocoran Air Dari Baut Manifol </t>
  </si>
  <si>
    <t xml:space="preserve">Baut Tanam Manifol </t>
  </si>
  <si>
    <t>Bagi Hasil 1-30 Apr 2026</t>
  </si>
  <si>
    <t>Pengeluaran 1-30 Apr 2026</t>
  </si>
  <si>
    <t>Spooring</t>
  </si>
  <si>
    <t>Jasa Cek Bushing Boogie Kanan Kiri (Ban Belakang Kanan Tidak Lurus)</t>
  </si>
  <si>
    <t xml:space="preserve">Lampu Halogan H4 </t>
  </si>
  <si>
    <t>Spare Lampu</t>
  </si>
  <si>
    <t>23 April 26 mas Dhian keluar 25juta</t>
  </si>
  <si>
    <t>30 April 26 mas Dhian keluar 25juta sisa 25 juta</t>
  </si>
  <si>
    <t>Tuker Tambah Ban</t>
  </si>
  <si>
    <t>Pemasukkan 1-23 Apr 2026 Mas Dhian</t>
  </si>
  <si>
    <t>Pemasukkan 24-30 Apr 2026 Mas Dhian</t>
  </si>
  <si>
    <t>Mas Dhian 50jt/580jt</t>
  </si>
  <si>
    <t>Jasa Ganti Baut Roda Tronton Kiri + Tuker Ban</t>
  </si>
  <si>
    <t>Mas Dhian</t>
  </si>
  <si>
    <t>Pemasukkan</t>
  </si>
  <si>
    <t>Total</t>
  </si>
  <si>
    <t xml:space="preserve">Profit </t>
  </si>
  <si>
    <t>Dapat</t>
  </si>
  <si>
    <t xml:space="preserve"> </t>
  </si>
  <si>
    <t>Bagi Hasil 1-31 Mei 2026</t>
  </si>
  <si>
    <t>Pengeluaran 1-31 Mei 2026</t>
  </si>
  <si>
    <t xml:space="preserve">Oktober </t>
  </si>
  <si>
    <t>Mas Dhian 25jt/580jt</t>
  </si>
  <si>
    <t>Koreksi April</t>
  </si>
  <si>
    <t>Hadid 12jt/580jt</t>
  </si>
  <si>
    <t>Ban &amp; Part Bekas Terjual 4.700.000,00</t>
  </si>
  <si>
    <t xml:space="preserve">Februari </t>
  </si>
  <si>
    <t>Bagi Hasil 1-30 Juni 2026</t>
  </si>
  <si>
    <t xml:space="preserve">Lebih </t>
  </si>
  <si>
    <t>Pengeluaran 1-30 Juni 2026</t>
  </si>
  <si>
    <t>Dedi Mesin</t>
  </si>
  <si>
    <t>Pak PO Mesin</t>
  </si>
  <si>
    <t>Hadid 14.5jt/580jt</t>
  </si>
  <si>
    <t>Bagi Hasil 1-31 Juli 2026</t>
  </si>
  <si>
    <t>Pengeluaran 1-31 Juli 2026</t>
  </si>
  <si>
    <t>Hadid 15jt/580jt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</si>
</sst>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(* #,##0_);_(* \(#,##0\);_(* &quot;-&quot;_);_(@_)"/>
    <numFmt numFmtId="165" formatCode="_-&quot;Rp&quot;* #,##0_-;\-&quot;Rp&quot;* #,##0_-;_-&quot;Rp&quot;* &quot;-&quot;??_-;_-@"/>
    <numFmt numFmtId="166" formatCode="_-&quot;Rp&quot;* #,##0.00_-;\-&quot;Rp&quot;* #,##0.00_-;_-&quot;Rp&quot;* &quot;-&quot;??_-;_-@"/>
    <numFmt numFmtId="167" formatCode="_(* #,##0.00_);_(* \(#,##0.00\);_(* &quot;-&quot;??_);_(@_)"/>
    <numFmt numFmtId="168" formatCode="dddd, d mmmm yyyy"/>
    <numFmt numFmtId="169" formatCode="_(* #,##0.00_);_(* \(#,##0.00\);_(* &quot;-&quot;_);_(@_)"/>
    <numFmt numFmtId="170" formatCode="#,##0.00;(#,##0.00)"/>
    <numFmt numFmtId="171" formatCode="#,##0.0"/>
    <numFmt numFmtId="172" formatCode="#,##0.000"/>
    <numFmt numFmtId="173" formatCode="d mmmm yyyy"/>
    <numFmt numFmtId="174" formatCode="[$Rp-421]#,##0.00"/>
    <numFmt numFmtId="175" formatCode="mmmm yyyy"/>
  </numFmts>
  <fonts count="24">
    <font>
      <sz val="11.0"/>
      <color rgb="FF000000"/>
      <name val="Arial"/>
      <scheme val="minor"/>
    </font>
    <font>
      <sz val="11.0"/>
      <color theme="1"/>
      <name val="Calibri"/>
    </font>
    <font>
      <sz val="8.0"/>
      <color theme="1"/>
      <name val="Arial"/>
    </font>
    <font>
      <sz val="9.0"/>
      <color theme="1"/>
      <name val="Calibri"/>
    </font>
    <font>
      <sz val="11.0"/>
      <color theme="1"/>
      <name val="Arial"/>
    </font>
    <font>
      <b/>
      <sz val="8.0"/>
      <color theme="1"/>
      <name val="Calibri"/>
    </font>
    <font>
      <b/>
      <sz val="12.0"/>
      <color theme="1"/>
      <name val="Arial"/>
      <scheme val="minor"/>
    </font>
    <font>
      <b/>
      <sz val="11.0"/>
      <color theme="1"/>
      <name val="Calibri"/>
    </font>
    <font>
      <b/>
      <sz val="8.0"/>
      <color theme="1"/>
      <name val="Times New Roman"/>
    </font>
    <font>
      <b/>
      <sz val="8.0"/>
      <color rgb="FFFF0000"/>
      <name val="Times New Roman"/>
    </font>
    <font/>
    <font>
      <b/>
      <sz val="11.0"/>
      <color theme="1"/>
      <name val="Aptos Narrow"/>
    </font>
    <font>
      <sz val="8.0"/>
      <color theme="1"/>
      <name val="Aptos Narrow"/>
    </font>
    <font>
      <sz val="8.0"/>
      <color theme="1"/>
      <name val="Times New Roman"/>
    </font>
    <font>
      <sz val="8.0"/>
      <color theme="1"/>
      <name val="Calibri"/>
    </font>
    <font>
      <b/>
      <color theme="1"/>
      <name val="Arial"/>
      <scheme val="minor"/>
    </font>
    <font>
      <color theme="1"/>
      <name val="Aptos Narrow"/>
    </font>
    <font>
      <sz val="11.0"/>
      <color theme="1"/>
      <name val="Aptos Narrow"/>
    </font>
    <font>
      <sz val="9.0"/>
      <color theme="1"/>
      <name val="Arial"/>
      <scheme val="minor"/>
    </font>
    <font>
      <sz val="9.0"/>
      <color theme="1"/>
      <name val="Arial"/>
    </font>
    <font>
      <color theme="1"/>
      <name val="Arial"/>
      <scheme val="minor"/>
    </font>
    <font>
      <sz val="10.0"/>
      <color theme="1"/>
      <name val="Times New Roman"/>
    </font>
    <font>
      <b/>
      <sz val="9.0"/>
      <color theme="1"/>
      <name val="Calibri"/>
    </font>
    <font>
      <sz val="10.0"/>
      <color theme="1"/>
      <name val="Arial"/>
      <scheme val="minor"/>
    </font>
  </fonts>
  <fills count="4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A6C9EB"/>
        <bgColor rgb="FFA6C9EB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47D45A"/>
        <bgColor rgb="FF47D45A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000000"/>
        <bgColor rgb="FF000000"/>
      </patternFill>
    </fill>
    <fill>
      <patternFill patternType="solid">
        <fgColor rgb="FFA2C4C9"/>
        <bgColor rgb="FFA2C4C9"/>
      </patternFill>
    </fill>
    <fill>
      <patternFill patternType="solid">
        <fgColor rgb="FFB45F06"/>
        <bgColor rgb="FFB45F06"/>
      </patternFill>
    </fill>
    <fill>
      <patternFill patternType="solid">
        <fgColor rgb="FFFF0000"/>
        <bgColor rgb="FFFF0000"/>
      </patternFill>
    </fill>
    <fill>
      <patternFill patternType="solid">
        <fgColor rgb="FFA64D79"/>
        <bgColor rgb="FFA64D79"/>
      </patternFill>
    </fill>
    <fill>
      <patternFill patternType="solid">
        <fgColor rgb="FF8E7CC3"/>
        <bgColor rgb="FF8E7CC3"/>
      </patternFill>
    </fill>
    <fill>
      <patternFill patternType="solid">
        <fgColor rgb="FF674EA7"/>
        <bgColor rgb="FF674EA7"/>
      </patternFill>
    </fill>
    <fill>
      <patternFill patternType="solid">
        <fgColor rgb="FFA4C2F4"/>
        <bgColor rgb="FFA4C2F4"/>
      </patternFill>
    </fill>
    <fill>
      <patternFill patternType="solid">
        <fgColor rgb="FF45818E"/>
        <bgColor rgb="FF45818E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5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ill="1" applyFont="1" applyNumberFormat="1"/>
    <xf borderId="1" fillId="0" fontId="1" numFmtId="0" xfId="0" applyBorder="1" applyFont="1"/>
    <xf borderId="1" fillId="0" fontId="2" numFmtId="0" xfId="0" applyAlignment="1" applyBorder="1" applyFont="1">
      <alignment shrinkToFit="0" vertical="center" wrapText="1"/>
    </xf>
    <xf borderId="1" fillId="0" fontId="3" numFmtId="164" xfId="0" applyAlignment="1" applyBorder="1" applyFont="1" applyNumberFormat="1">
      <alignment shrinkToFit="0" vertical="center" wrapText="1"/>
    </xf>
    <xf borderId="1" fillId="0" fontId="1" numFmtId="164" xfId="0" applyBorder="1" applyFont="1" applyNumberFormat="1"/>
    <xf borderId="0" fillId="0" fontId="4" numFmtId="0" xfId="0" applyAlignment="1" applyFont="1">
      <alignment vertical="bottom"/>
    </xf>
    <xf borderId="2" fillId="0" fontId="4" numFmtId="0" xfId="0" applyAlignment="1" applyBorder="1" applyFont="1">
      <alignment vertical="bottom"/>
    </xf>
    <xf borderId="3" fillId="3" fontId="5" numFmtId="0" xfId="0" applyAlignment="1" applyBorder="1" applyFill="1" applyFont="1">
      <alignment horizontal="center" shrinkToFit="0" wrapText="1"/>
    </xf>
    <xf borderId="4" fillId="3" fontId="5" numFmtId="0" xfId="0" applyAlignment="1" applyBorder="1" applyFill="1" applyFont="1">
      <alignment horizontal="center" shrinkToFit="0" wrapText="1"/>
    </xf>
    <xf borderId="3" fillId="2" fontId="6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/>
    </xf>
    <xf borderId="4" fillId="2" fontId="6" numFmtId="0" xfId="0" applyAlignment="1" applyBorder="1" applyFill="1" applyFont="1">
      <alignment horizontal="center" readingOrder="0" shrinkToFit="0" vertical="center" wrapText="1"/>
    </xf>
    <xf borderId="3" fillId="2" fontId="6" numFmtId="0" xfId="0" applyAlignment="1" applyBorder="1" applyFill="1" applyFont="1">
      <alignment horizontal="center" readingOrder="0" shrinkToFit="0" vertical="center" wrapText="1"/>
    </xf>
    <xf borderId="5" fillId="3" fontId="7" numFmtId="0" xfId="0" applyAlignment="1" applyBorder="1" applyFill="1" applyFont="1">
      <alignment horizontal="center" vertical="bottom"/>
    </xf>
    <xf borderId="6" fillId="0" fontId="4" numFmtId="0" xfId="0" applyAlignment="1" applyBorder="1" applyFont="1">
      <alignment vertical="bottom"/>
    </xf>
    <xf borderId="3" fillId="2" fontId="6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vertical="bottom"/>
    </xf>
    <xf borderId="5" fillId="3" fontId="4" numFmtId="0" xfId="0" applyAlignment="1" applyBorder="1" applyFill="1" applyFont="1">
      <alignment vertical="bottom"/>
    </xf>
    <xf borderId="6" fillId="4" fontId="8" numFmtId="0" xfId="0" applyAlignment="1" applyBorder="1" applyFill="1" applyFont="1">
      <alignment horizontal="center"/>
    </xf>
    <xf borderId="3" fillId="2" fontId="6" numFmtId="164" xfId="0" applyAlignment="1" applyBorder="1" applyFill="1" applyFont="1" applyNumberFormat="1">
      <alignment horizontal="center" shrinkToFit="0" vertical="center" wrapText="1"/>
    </xf>
    <xf borderId="5" fillId="3" fontId="4" numFmtId="164" xfId="0" applyAlignment="1" applyBorder="1" applyFill="1" applyFont="1" applyNumberFormat="1">
      <alignment vertical="bottom"/>
    </xf>
    <xf borderId="3" fillId="2" fontId="6" numFmtId="164" xfId="0" applyAlignment="1" applyBorder="1" applyFill="1" applyFont="1" applyNumberFormat="1">
      <alignment horizontal="center" readingOrder="0" shrinkToFit="0" vertical="center" wrapText="1"/>
    </xf>
    <xf borderId="6" fillId="4" fontId="9" numFmtId="0" xfId="0" applyAlignment="1" applyBorder="1" applyFill="1" applyFont="1">
      <alignment horizontal="center"/>
    </xf>
    <xf borderId="6" fillId="0" fontId="10" numFmtId="0" xfId="0" applyBorder="1" applyFont="1"/>
    <xf borderId="3" fillId="2" fontId="6" numFmtId="164" xfId="0" applyAlignment="1" applyBorder="1" applyFill="1" applyFont="1" applyNumberFormat="1">
      <alignment horizontal="center" readingOrder="0" shrinkToFit="0" vertical="center" wrapText="1"/>
    </xf>
    <xf borderId="7" fillId="0" fontId="10" numFmtId="0" xfId="0" applyBorder="1" applyFont="1"/>
    <xf borderId="8" fillId="0" fontId="10" numFmtId="0" xfId="0" applyBorder="1" applyFont="1"/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9" fillId="0" fontId="10" numFmtId="0" xfId="0" applyBorder="1" applyFont="1"/>
    <xf borderId="10" fillId="2" fontId="6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vertical="bottom"/>
    </xf>
    <xf borderId="11" fillId="2" fontId="6" numFmtId="164" xfId="0" applyAlignment="1" applyBorder="1" applyFill="1" applyFont="1" applyNumberFormat="1">
      <alignment horizontal="center" readingOrder="0" shrinkToFit="0" vertical="center" wrapText="1"/>
    </xf>
    <xf borderId="12" fillId="0" fontId="4" numFmtId="0" xfId="0" applyAlignment="1" applyBorder="1" applyFont="1">
      <alignment vertical="bottom"/>
    </xf>
    <xf borderId="9" fillId="3" fontId="7" numFmtId="0" xfId="0" applyAlignment="1" applyBorder="1" applyFill="1" applyFont="1">
      <alignment horizontal="center" vertical="bottom"/>
    </xf>
    <xf borderId="3" fillId="2" fontId="6" numFmtId="0" xfId="0" applyAlignment="1" applyBorder="1" applyFill="1" applyFont="1">
      <alignment horizontal="center" readingOrder="0" shrinkToFit="0" vertical="center" wrapText="1"/>
    </xf>
    <xf borderId="13" fillId="0" fontId="8" numFmtId="0" xfId="0" applyAlignment="1" applyBorder="1" applyFont="1">
      <alignment vertical="bottom"/>
    </xf>
    <xf borderId="13" fillId="0" fontId="10" numFmtId="0" xfId="0" applyBorder="1" applyFont="1"/>
    <xf borderId="9" fillId="3" fontId="1" numFmtId="0" xfId="0" applyAlignment="1" applyBorder="1" applyFill="1" applyFont="1">
      <alignment vertical="bottom"/>
    </xf>
    <xf borderId="13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quotePrefix="1" borderId="9" fillId="0" fontId="12" numFmtId="0" xfId="0" applyAlignment="1" applyBorder="1" applyFont="1">
      <alignment vertical="bottom"/>
    </xf>
    <xf borderId="9" fillId="3" fontId="1" numFmtId="164" xfId="0" applyAlignment="1" applyBorder="1" applyFill="1" applyFont="1" applyNumberFormat="1">
      <alignment vertical="bottom"/>
    </xf>
    <xf borderId="9" fillId="0" fontId="13" numFmtId="0" xfId="0" applyAlignment="1" applyBorder="1" applyFont="1">
      <alignment vertical="bottom"/>
    </xf>
    <xf quotePrefix="1" borderId="9" fillId="0" fontId="13" numFmtId="0" xfId="0" applyAlignment="1" applyBorder="1" applyFont="1">
      <alignment vertical="bottom"/>
    </xf>
    <xf borderId="8" fillId="0" fontId="14" numFmtId="0" xfId="0" applyAlignment="1" applyBorder="1" applyFont="1">
      <alignment horizontal="center"/>
    </xf>
    <xf borderId="9" fillId="0" fontId="13" numFmtId="165" xfId="0" applyAlignment="1" applyBorder="1" applyFont="1" applyNumberFormat="1">
      <alignment horizontal="right" vertical="bottom"/>
    </xf>
    <xf borderId="10" fillId="2" fontId="15" numFmtId="0" xfId="0" applyAlignment="1" applyBorder="1" applyFill="1" applyFont="1">
      <alignment horizontal="center" readingOrder="0" shrinkToFit="0" vertical="center" wrapText="1"/>
    </xf>
    <xf borderId="9" fillId="0" fontId="14" numFmtId="0" xfId="0" applyAlignment="1" applyBorder="1" applyFont="1">
      <alignment horizontal="center"/>
    </xf>
    <xf borderId="0" fillId="0" fontId="16" numFmtId="166" xfId="0" applyAlignment="1" applyFont="1" applyNumberFormat="1">
      <alignment horizontal="right" vertical="bottom"/>
    </xf>
    <xf borderId="3" fillId="2" fontId="15" numFmtId="0" xfId="0" applyAlignment="1" applyBorder="1" applyFill="1" applyFont="1">
      <alignment horizontal="center" readingOrder="0" vertical="center"/>
    </xf>
    <xf borderId="0" fillId="0" fontId="17" numFmtId="166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vertical="bottom"/>
    </xf>
    <xf borderId="8" fillId="0" fontId="10" numFmtId="0" xfId="0" applyBorder="1" applyFont="1"/>
    <xf borderId="9" fillId="0" fontId="14" numFmtId="3" xfId="0" applyAlignment="1" applyBorder="1" applyFont="1" applyNumberFormat="1">
      <alignment horizontal="center"/>
    </xf>
    <xf borderId="9" fillId="0" fontId="1" numFmtId="167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horizontal="right" vertical="bottom"/>
    </xf>
    <xf borderId="1" fillId="5" fontId="2" numFmtId="0" xfId="0" applyAlignment="1" applyBorder="1" applyFill="1" applyFont="1">
      <alignment shrinkToFit="0" vertical="center" wrapText="1"/>
    </xf>
    <xf borderId="14" fillId="0" fontId="10" numFmtId="0" xfId="0" applyBorder="1" applyFont="1"/>
    <xf borderId="1" fillId="5" fontId="1" numFmtId="164" xfId="0" applyBorder="1" applyFill="1" applyFont="1" applyNumberFormat="1"/>
    <xf borderId="1" fillId="5" fontId="1" numFmtId="164" xfId="0" applyAlignment="1" applyBorder="1" applyFill="1" applyFont="1" applyNumberFormat="1">
      <alignment readingOrder="0"/>
    </xf>
    <xf borderId="14" fillId="0" fontId="18" numFmtId="0" xfId="0" applyAlignment="1" applyBorder="1" applyFont="1">
      <alignment horizontal="center" vertical="center"/>
    </xf>
    <xf borderId="1" fillId="0" fontId="18" numFmtId="168" xfId="0" applyAlignment="1" applyBorder="1" applyFont="1" applyNumberFormat="1">
      <alignment horizontal="center" readingOrder="0" vertical="center"/>
    </xf>
    <xf borderId="9" fillId="0" fontId="1" numFmtId="164" xfId="0" applyAlignment="1" applyBorder="1" applyFont="1" applyNumberFormat="1">
      <alignment horizontal="right" vertical="bottom"/>
    </xf>
    <xf borderId="5" fillId="0" fontId="18" numFmtId="168" xfId="0" applyAlignment="1" applyBorder="1" applyFont="1" applyNumberFormat="1">
      <alignment horizontal="center" readingOrder="0" vertical="center"/>
    </xf>
    <xf borderId="5" fillId="0" fontId="19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readingOrder="0"/>
    </xf>
    <xf borderId="3" fillId="0" fontId="3" numFmtId="3" xfId="0" applyAlignment="1" applyBorder="1" applyFont="1" applyNumberForma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vertical="center"/>
    </xf>
    <xf borderId="3" fillId="0" fontId="3" numFmtId="4" xfId="0" applyAlignment="1" applyBorder="1" applyFont="1" applyNumberFormat="1">
      <alignment horizontal="center" readingOrder="0" vertical="center"/>
    </xf>
    <xf quotePrefix="1" borderId="9" fillId="5" fontId="12" numFmtId="0" xfId="0" applyAlignment="1" applyBorder="1" applyFill="1" applyFont="1">
      <alignment vertical="bottom"/>
    </xf>
    <xf borderId="9" fillId="5" fontId="13" numFmtId="0" xfId="0" applyAlignment="1" applyBorder="1" applyFill="1" applyFont="1">
      <alignment vertical="bottom"/>
    </xf>
    <xf quotePrefix="1" borderId="9" fillId="5" fontId="13" numFmtId="0" xfId="0" applyAlignment="1" applyBorder="1" applyFill="1" applyFont="1">
      <alignment vertical="bottom"/>
    </xf>
    <xf borderId="9" fillId="5" fontId="13" numFmtId="165" xfId="0" applyAlignment="1" applyBorder="1" applyFill="1" applyFont="1" applyNumberFormat="1">
      <alignment horizontal="right" vertical="bottom"/>
    </xf>
    <xf borderId="3" fillId="0" fontId="3" numFmtId="169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readingOrder="0"/>
    </xf>
    <xf borderId="1" fillId="0" fontId="3" numFmtId="16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3" numFmtId="4" xfId="0" applyAlignment="1" applyBorder="1" applyFont="1" applyNumberFormat="1">
      <alignment horizontal="center" vertical="center"/>
    </xf>
    <xf borderId="14" fillId="0" fontId="3" numFmtId="170" xfId="0" applyAlignment="1" applyBorder="1" applyFont="1" applyNumberFormat="1">
      <alignment horizontal="center" vertical="center"/>
    </xf>
    <xf borderId="8" fillId="5" fontId="3" numFmtId="170" xfId="0" applyAlignment="1" applyBorder="1" applyFill="1" applyFont="1" applyNumberFormat="1">
      <alignment horizontal="center" vertical="center"/>
    </xf>
    <xf borderId="8" fillId="5" fontId="3" numFmtId="0" xfId="0" applyAlignment="1" applyBorder="1" applyFill="1" applyFont="1">
      <alignment horizontal="center" readingOrder="0" vertical="center"/>
    </xf>
    <xf borderId="1" fillId="0" fontId="3" numFmtId="170" xfId="0" applyAlignment="1" applyBorder="1" applyFont="1" applyNumberFormat="1">
      <alignment horizontal="center" readingOrder="0" shrinkToFit="0" vertical="center" wrapText="1"/>
    </xf>
    <xf borderId="1" fillId="0" fontId="3" numFmtId="3" xfId="0" applyAlignment="1" applyBorder="1" applyFont="1" applyNumberFormat="1">
      <alignment horizontal="center" readingOrder="0" shrinkToFit="0" vertical="center" wrapText="1"/>
    </xf>
    <xf borderId="5" fillId="0" fontId="3" numFmtId="170" xfId="0" applyAlignment="1" applyBorder="1" applyFont="1" applyNumberFormat="1">
      <alignment horizontal="center" readingOrder="0" shrinkToFit="0" vertical="center" wrapText="1"/>
    </xf>
    <xf borderId="1" fillId="5" fontId="3" numFmtId="170" xfId="0" applyAlignment="1" applyBorder="1" applyFill="1" applyFont="1" applyNumberFormat="1">
      <alignment horizontal="center" readingOrder="0" shrinkToFit="0" vertical="center" wrapText="1"/>
    </xf>
    <xf borderId="14" fillId="0" fontId="3" numFmtId="170" xfId="0" applyAlignment="1" applyBorder="1" applyFont="1" applyNumberFormat="1">
      <alignment horizontal="center" readingOrder="0" vertical="center"/>
    </xf>
    <xf borderId="14" fillId="0" fontId="3" numFmtId="164" xfId="0" applyAlignment="1" applyBorder="1" applyFont="1" applyNumberFormat="1">
      <alignment horizontal="center" readingOrder="0" vertical="center"/>
    </xf>
    <xf borderId="14" fillId="0" fontId="20" numFmtId="0" xfId="0" applyAlignment="1" applyBorder="1" applyFont="1">
      <alignment horizontal="left" readingOrder="0" vertical="center"/>
    </xf>
    <xf borderId="1" fillId="0" fontId="20" numFmtId="0" xfId="0" applyBorder="1" applyFont="1"/>
    <xf borderId="15" fillId="0" fontId="18" numFmtId="0" xfId="0" applyAlignment="1" applyBorder="1" applyFont="1">
      <alignment horizontal="center" vertical="center"/>
    </xf>
    <xf borderId="15" fillId="0" fontId="19" numFmtId="0" xfId="0" applyAlignment="1" applyBorder="1" applyFont="1">
      <alignment horizontal="center" readingOrder="0" shrinkToFit="0" vertical="center" wrapText="1"/>
    </xf>
    <xf borderId="1" fillId="0" fontId="3" numFmtId="4" xfId="0" applyAlignment="1" applyBorder="1" applyFont="1" applyNumberFormat="1">
      <alignment horizontal="center" vertical="center"/>
    </xf>
    <xf borderId="1" fillId="0" fontId="3" numFmtId="169" xfId="0" applyAlignment="1" applyBorder="1" applyFont="1" applyNumberFormat="1">
      <alignment horizontal="center" vertical="center"/>
    </xf>
    <xf borderId="5" fillId="0" fontId="3" numFmtId="169" xfId="0" applyAlignment="1" applyBorder="1" applyFont="1" applyNumberFormat="1">
      <alignment horizontal="center" vertical="center"/>
    </xf>
    <xf borderId="15" fillId="0" fontId="3" numFmtId="170" xfId="0" applyAlignment="1" applyBorder="1" applyFont="1" applyNumberFormat="1">
      <alignment horizontal="center" readingOrder="0" vertical="center"/>
    </xf>
    <xf borderId="1" fillId="5" fontId="3" numFmtId="170" xfId="0" applyAlignment="1" applyBorder="1" applyFill="1" applyFont="1" applyNumberFormat="1">
      <alignment horizontal="center" vertical="center"/>
    </xf>
    <xf borderId="15" fillId="0" fontId="20" numFmtId="0" xfId="0" applyAlignment="1" applyBorder="1" applyFont="1">
      <alignment horizontal="left" vertical="center"/>
    </xf>
    <xf borderId="5" fillId="0" fontId="19" numFmtId="0" xfId="0" applyAlignment="1" applyBorder="1" applyFont="1">
      <alignment horizontal="center" readingOrder="0" shrinkToFit="0" vertical="center" wrapText="1"/>
    </xf>
    <xf borderId="1" fillId="0" fontId="3" numFmtId="3" xfId="0" applyAlignment="1" applyBorder="1" applyFont="1" applyNumberFormat="1">
      <alignment horizontal="center" shrinkToFit="0" vertical="center" wrapText="1"/>
    </xf>
    <xf borderId="1" fillId="0" fontId="3" numFmtId="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readingOrder="0"/>
    </xf>
    <xf borderId="15" fillId="0" fontId="18" numFmtId="0" xfId="0" applyAlignment="1" applyBorder="1" applyFont="1">
      <alignment horizontal="center" readingOrder="0" vertical="center"/>
    </xf>
    <xf borderId="15" fillId="0" fontId="19" numFmtId="0" xfId="0" applyAlignment="1" applyBorder="1" applyFont="1">
      <alignment horizontal="center" shrinkToFit="0" vertical="center" wrapText="1"/>
    </xf>
    <xf borderId="9" fillId="5" fontId="14" numFmtId="0" xfId="0" applyAlignment="1" applyBorder="1" applyFill="1" applyFont="1">
      <alignment horizontal="center"/>
    </xf>
    <xf borderId="16" fillId="4" fontId="8" numFmtId="0" xfId="0" applyAlignment="1" applyBorder="1" applyFill="1" applyFont="1">
      <alignment horizontal="center"/>
    </xf>
    <xf borderId="17" fillId="4" fontId="8" numFmtId="0" xfId="0" applyAlignment="1" applyBorder="1" applyFill="1" applyFont="1">
      <alignment horizontal="center"/>
    </xf>
    <xf borderId="17" fillId="4" fontId="9" numFmtId="0" xfId="0" applyAlignment="1" applyBorder="1" applyFill="1" applyFont="1">
      <alignment horizontal="center"/>
    </xf>
    <xf borderId="18" fillId="0" fontId="10" numFmtId="0" xfId="0" applyBorder="1" applyFont="1"/>
    <xf borderId="19" fillId="0" fontId="10" numFmtId="0" xfId="0" applyBorder="1" applyFont="1"/>
    <xf borderId="8" fillId="5" fontId="14" numFmtId="0" xfId="0" applyAlignment="1" applyBorder="1" applyFill="1" applyFont="1">
      <alignment horizontal="center"/>
    </xf>
    <xf borderId="1" fillId="5" fontId="11" numFmtId="0" xfId="0" applyAlignment="1" applyBorder="1" applyFill="1" applyFont="1">
      <alignment horizontal="center" vertical="bottom"/>
    </xf>
    <xf borderId="1" fillId="6" fontId="11" numFmtId="0" xfId="0" applyAlignment="1" applyBorder="1" applyFill="1" applyFont="1">
      <alignment horizontal="center" readingOrder="0" vertical="bottom"/>
    </xf>
    <xf borderId="9" fillId="5" fontId="14" numFmtId="3" xfId="0" applyAlignment="1" applyBorder="1" applyFill="1" applyFont="1" applyNumberFormat="1">
      <alignment horizontal="center"/>
    </xf>
    <xf borderId="1" fillId="7" fontId="11" numFmtId="0" xfId="0" applyAlignment="1" applyBorder="1" applyFill="1" applyFont="1">
      <alignment horizontal="center" readingOrder="0" vertical="bottom"/>
    </xf>
    <xf borderId="9" fillId="5" fontId="1" numFmtId="167" xfId="0" applyAlignment="1" applyBorder="1" applyFill="1" applyFont="1" applyNumberFormat="1">
      <alignment horizontal="right" vertical="bottom"/>
    </xf>
    <xf borderId="1" fillId="2" fontId="11" numFmtId="0" xfId="0" applyAlignment="1" applyBorder="1" applyFill="1" applyFont="1">
      <alignment horizontal="center" vertical="bottom"/>
    </xf>
    <xf borderId="9" fillId="5" fontId="1" numFmtId="0" xfId="0" applyAlignment="1" applyBorder="1" applyFill="1" applyFont="1">
      <alignment horizontal="right" readingOrder="0" vertical="bottom"/>
    </xf>
    <xf borderId="1" fillId="0" fontId="11" numFmtId="0" xfId="0" applyAlignment="1" applyBorder="1" applyFont="1">
      <alignment horizontal="center" vertical="bottom"/>
    </xf>
    <xf borderId="1" fillId="8" fontId="11" numFmtId="0" xfId="0" applyAlignment="1" applyBorder="1" applyFill="1" applyFont="1">
      <alignment horizontal="center" vertical="bottom"/>
    </xf>
    <xf borderId="1" fillId="9" fontId="11" numFmtId="0" xfId="0" applyAlignment="1" applyBorder="1" applyFill="1" applyFont="1">
      <alignment horizontal="center" vertical="bottom"/>
    </xf>
    <xf borderId="1" fillId="10" fontId="11" numFmtId="0" xfId="0" applyAlignment="1" applyBorder="1" applyFill="1" applyFont="1">
      <alignment horizontal="center" vertical="bottom"/>
    </xf>
    <xf borderId="1" fillId="0" fontId="3" numFmtId="4" xfId="0" applyAlignment="1" applyBorder="1" applyFont="1" applyNumberFormat="1">
      <alignment horizontal="center" readingOrder="0" vertical="center"/>
    </xf>
    <xf borderId="1" fillId="11" fontId="11" numFmtId="0" xfId="0" applyAlignment="1" applyBorder="1" applyFill="1" applyFont="1">
      <alignment horizontal="center" vertical="bottom"/>
    </xf>
    <xf borderId="9" fillId="5" fontId="1" numFmtId="164" xfId="0" applyAlignment="1" applyBorder="1" applyFill="1" applyFont="1" applyNumberFormat="1">
      <alignment horizontal="right" vertical="bottom"/>
    </xf>
    <xf borderId="0" fillId="5" fontId="20" numFmtId="0" xfId="0" applyFill="1" applyFont="1"/>
    <xf borderId="14" fillId="0" fontId="8" numFmtId="0" xfId="0" applyAlignment="1" applyBorder="1" applyFont="1">
      <alignment vertical="bottom"/>
    </xf>
    <xf borderId="13" fillId="0" fontId="17" numFmtId="0" xfId="0" applyAlignment="1" applyBorder="1" applyFont="1">
      <alignment vertical="bottom"/>
    </xf>
    <xf borderId="15" fillId="0" fontId="4" numFmtId="0" xfId="0" applyAlignment="1" applyBorder="1" applyFont="1">
      <alignment vertical="bottom"/>
    </xf>
    <xf borderId="20" fillId="0" fontId="10" numFmtId="0" xfId="0" applyBorder="1" applyFont="1"/>
    <xf borderId="5" fillId="0" fontId="10" numFmtId="0" xfId="0" applyBorder="1" applyFont="1"/>
    <xf borderId="8" fillId="0" fontId="17" numFmtId="0" xfId="0" applyAlignment="1" applyBorder="1" applyFont="1">
      <alignment vertical="bottom"/>
    </xf>
    <xf borderId="1" fillId="0" fontId="3" numFmtId="170" xfId="0" applyAlignment="1" applyBorder="1" applyFont="1" applyNumberForma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vertical="center"/>
    </xf>
    <xf borderId="15" fillId="12" fontId="3" numFmtId="0" xfId="0" applyAlignment="1" applyBorder="1" applyFill="1" applyFont="1">
      <alignment horizontal="left" readingOrder="0" vertical="center"/>
    </xf>
    <xf borderId="1" fillId="0" fontId="16" numFmtId="166" xfId="0" applyAlignment="1" applyBorder="1" applyFont="1" applyNumberFormat="1">
      <alignment horizontal="right" vertical="bottom"/>
    </xf>
    <xf borderId="1" fillId="7" fontId="16" numFmtId="166" xfId="0" applyAlignment="1" applyBorder="1" applyFill="1" applyFont="1" applyNumberFormat="1">
      <alignment horizontal="right" vertical="bottom"/>
    </xf>
    <xf borderId="1" fillId="2" fontId="16" numFmtId="166" xfId="0" applyAlignment="1" applyBorder="1" applyFill="1" applyFont="1" applyNumberFormat="1">
      <alignment horizontal="right" vertical="bottom"/>
    </xf>
    <xf borderId="1" fillId="0" fontId="17" numFmtId="166" xfId="0" applyAlignment="1" applyBorder="1" applyFont="1" applyNumberFormat="1">
      <alignment horizontal="right" vertical="bottom"/>
    </xf>
    <xf borderId="1" fillId="0" fontId="16" numFmtId="165" xfId="0" applyAlignment="1" applyBorder="1" applyFont="1" applyNumberFormat="1">
      <alignment horizontal="right" vertical="bottom"/>
    </xf>
    <xf borderId="1" fillId="5" fontId="3" numFmtId="170" xfId="0" applyAlignment="1" applyBorder="1" applyFill="1" applyFont="1" applyNumberFormat="1">
      <alignment horizontal="center" readingOrder="0" vertical="center"/>
    </xf>
    <xf borderId="1" fillId="6" fontId="16" numFmtId="165" xfId="0" applyAlignment="1" applyBorder="1" applyFill="1" applyFont="1" applyNumberFormat="1">
      <alignment horizontal="right" vertical="bottom"/>
    </xf>
    <xf borderId="15" fillId="0" fontId="3" numFmtId="0" xfId="0" applyAlignment="1" applyBorder="1" applyFont="1">
      <alignment horizontal="left" readingOrder="0" vertical="center"/>
    </xf>
    <xf borderId="1" fillId="11" fontId="17" numFmtId="166" xfId="0" applyAlignment="1" applyBorder="1" applyFill="1" applyFont="1" applyNumberFormat="1">
      <alignment horizontal="right" vertical="bottom"/>
    </xf>
    <xf borderId="10" fillId="0" fontId="18" numFmtId="0" xfId="0" applyAlignment="1" applyBorder="1" applyFont="1">
      <alignment horizontal="center" vertical="center"/>
    </xf>
    <xf borderId="10" fillId="0" fontId="18" numFmtId="0" xfId="0" applyAlignment="1" applyBorder="1" applyFont="1">
      <alignment horizontal="center" readingOrder="0" vertical="center"/>
    </xf>
    <xf borderId="1" fillId="0" fontId="3" numFmtId="171" xfId="0" applyAlignment="1" applyBorder="1" applyFont="1" applyNumberFormat="1">
      <alignment horizontal="center" readingOrder="0" shrinkToFit="0" vertical="center" wrapText="1"/>
    </xf>
    <xf borderId="3" fillId="0" fontId="18" numFmtId="168" xfId="0" applyAlignment="1" applyBorder="1" applyFont="1" applyNumberFormat="1">
      <alignment horizontal="center" readingOrder="0" vertical="center"/>
    </xf>
    <xf borderId="4" fillId="0" fontId="18" numFmtId="168" xfId="0" applyAlignment="1" applyBorder="1" applyFont="1" applyNumberFormat="1">
      <alignment horizontal="center" readingOrder="0" vertical="center"/>
    </xf>
    <xf borderId="4" fillId="0" fontId="19" numFmtId="0" xfId="0" applyAlignment="1" applyBorder="1" applyFont="1">
      <alignment horizontal="center" shrinkToFit="0" vertical="center" wrapText="1"/>
    </xf>
    <xf borderId="1" fillId="2" fontId="16" numFmtId="165" xfId="0" applyAlignment="1" applyBorder="1" applyFill="1" applyFont="1" applyNumberFormat="1">
      <alignment horizontal="right" vertical="bottom"/>
    </xf>
    <xf borderId="10" fillId="0" fontId="19" numFmtId="0" xfId="0" applyAlignment="1" applyBorder="1" applyFont="1">
      <alignment horizontal="center" readingOrder="0" shrinkToFit="0" vertical="center" wrapText="1"/>
    </xf>
    <xf borderId="4" fillId="0" fontId="3" numFmtId="169" xfId="0" applyAlignment="1" applyBorder="1" applyFont="1" applyNumberFormat="1">
      <alignment horizontal="center" vertical="center"/>
    </xf>
    <xf borderId="3" fillId="0" fontId="3" numFmtId="4" xfId="0" applyAlignment="1" applyBorder="1" applyFont="1" applyNumberFormat="1">
      <alignment horizontal="center" vertical="center"/>
    </xf>
    <xf borderId="1" fillId="5" fontId="16" numFmtId="166" xfId="0" applyAlignment="1" applyBorder="1" applyFill="1" applyFont="1" applyNumberFormat="1">
      <alignment horizontal="right" vertical="bottom"/>
    </xf>
    <xf borderId="21" fillId="0" fontId="3" numFmtId="170" xfId="0" applyAlignment="1" applyBorder="1" applyFont="1" applyNumberFormat="1">
      <alignment horizontal="center" readingOrder="0" vertical="center"/>
    </xf>
    <xf borderId="1" fillId="5" fontId="17" numFmtId="166" xfId="0" applyAlignment="1" applyBorder="1" applyFill="1" applyFont="1" applyNumberFormat="1">
      <alignment horizontal="right" vertical="bottom"/>
    </xf>
    <xf borderId="9" fillId="5" fontId="1" numFmtId="167" xfId="0" applyAlignment="1" applyBorder="1" applyFill="1" applyFont="1" applyNumberFormat="1">
      <alignment horizontal="right" readingOrder="0" vertical="bottom"/>
    </xf>
    <xf borderId="1" fillId="5" fontId="16" numFmtId="165" xfId="0" applyAlignment="1" applyBorder="1" applyFill="1" applyFont="1" applyNumberFormat="1">
      <alignment horizontal="right" vertical="bottom"/>
    </xf>
    <xf borderId="1" fillId="10" fontId="16" numFmtId="165" xfId="0" applyAlignment="1" applyBorder="1" applyFill="1" applyFont="1" applyNumberFormat="1">
      <alignment horizontal="right" vertical="bottom"/>
    </xf>
    <xf borderId="1" fillId="0" fontId="18" numFmtId="0" xfId="0" applyAlignment="1" applyBorder="1" applyFont="1">
      <alignment horizontal="center" readingOrder="0" vertical="center"/>
    </xf>
    <xf borderId="1" fillId="0" fontId="18" numFmtId="168" xfId="0" applyAlignment="1" applyBorder="1" applyFont="1" applyNumberFormat="1">
      <alignment horizontal="center" readingOrder="0"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3" numFmtId="170" xfId="0" applyAlignment="1" applyBorder="1" applyFont="1" applyNumberFormat="1">
      <alignment horizontal="center" readingOrder="0" vertical="center"/>
    </xf>
    <xf borderId="1" fillId="0" fontId="21" numFmtId="0" xfId="0" applyAlignment="1" applyBorder="1" applyFont="1">
      <alignment shrinkToFit="0" vertical="center" wrapText="1"/>
    </xf>
    <xf borderId="1" fillId="9" fontId="16" numFmtId="165" xfId="0" applyAlignment="1" applyBorder="1" applyFill="1" applyFont="1" applyNumberFormat="1">
      <alignment horizontal="right" vertical="bottom"/>
    </xf>
    <xf borderId="1" fillId="5" fontId="18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shrinkToFit="0" vertical="center" wrapText="1"/>
    </xf>
    <xf borderId="20" fillId="0" fontId="3" numFmtId="170" xfId="0" applyAlignment="1" applyBorder="1" applyFont="1" applyNumberFormat="1">
      <alignment horizontal="center" readingOrder="0" shrinkToFit="0" vertical="center" wrapText="1"/>
    </xf>
    <xf borderId="15" fillId="5" fontId="3" numFmtId="0" xfId="0" applyAlignment="1" applyBorder="1" applyFill="1" applyFont="1">
      <alignment horizontal="center" readingOrder="0" shrinkToFit="0" vertical="center" wrapText="1"/>
    </xf>
    <xf borderId="3" fillId="0" fontId="1" numFmtId="0" xfId="0" applyBorder="1" applyFont="1"/>
    <xf borderId="3" fillId="0" fontId="1" numFmtId="164" xfId="0" applyBorder="1" applyFont="1" applyNumberFormat="1"/>
    <xf borderId="1" fillId="0" fontId="1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  <xf borderId="0" fillId="0" fontId="7" numFmtId="0" xfId="0" applyFont="1"/>
    <xf borderId="3" fillId="5" fontId="18" numFmtId="0" xfId="0" applyAlignment="1" applyBorder="1" applyFill="1" applyFont="1">
      <alignment horizontal="center" readingOrder="0" vertical="center"/>
    </xf>
    <xf borderId="15" fillId="0" fontId="3" numFmtId="4" xfId="0" applyAlignment="1" applyBorder="1" applyFont="1" applyNumberFormat="1">
      <alignment horizontal="center" vertical="center"/>
    </xf>
    <xf borderId="10" fillId="5" fontId="18" numFmtId="0" xfId="0" applyAlignment="1" applyBorder="1" applyFill="1" applyFont="1">
      <alignment horizontal="center" readingOrder="0" vertical="center"/>
    </xf>
    <xf borderId="4" fillId="0" fontId="19" numFmtId="0" xfId="0" applyAlignment="1" applyBorder="1" applyFont="1">
      <alignment horizontal="center" readingOrder="0" shrinkToFit="0" vertical="center" wrapText="1"/>
    </xf>
    <xf borderId="10" fillId="0" fontId="3" numFmtId="4" xfId="0" applyAlignment="1" applyBorder="1" applyFont="1" applyNumberFormat="1">
      <alignment horizontal="center" vertical="center"/>
    </xf>
    <xf borderId="11" fillId="0" fontId="3" numFmtId="170" xfId="0" applyAlignment="1" applyBorder="1" applyFont="1" applyNumberFormat="1">
      <alignment horizontal="center" readingOrder="0" shrinkToFit="0" vertical="center" wrapText="1"/>
    </xf>
    <xf borderId="4" fillId="0" fontId="3" numFmtId="170" xfId="0" applyAlignment="1" applyBorder="1" applyFont="1" applyNumberFormat="1">
      <alignment horizontal="center" readingOrder="0" shrinkToFit="0" vertical="center" wrapText="1"/>
    </xf>
    <xf borderId="3" fillId="0" fontId="3" numFmtId="170" xfId="0" applyAlignment="1" applyBorder="1" applyFont="1" applyNumberForma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vertical="center"/>
    </xf>
    <xf borderId="9" fillId="0" fontId="4" numFmtId="0" xfId="0" applyBorder="1" applyFont="1"/>
    <xf borderId="9" fillId="0" fontId="4" numFmtId="164" xfId="0" applyAlignment="1" applyBorder="1" applyFont="1" applyNumberFormat="1">
      <alignment vertical="bottom"/>
    </xf>
    <xf borderId="1" fillId="13" fontId="20" numFmtId="0" xfId="0" applyAlignment="1" applyBorder="1" applyFill="1" applyFont="1">
      <alignment horizontal="center" readingOrder="0" vertical="center"/>
    </xf>
    <xf borderId="1" fillId="13" fontId="20" numFmtId="4" xfId="0" applyAlignment="1" applyBorder="1" applyFill="1" applyFont="1" applyNumberFormat="1">
      <alignment horizontal="center" readingOrder="0" vertical="center"/>
    </xf>
    <xf borderId="1" fillId="13" fontId="20" numFmtId="0" xfId="0" applyAlignment="1" applyBorder="1" applyFill="1" applyFont="1">
      <alignment horizontal="center" readingOrder="0"/>
    </xf>
    <xf borderId="1" fillId="0" fontId="20" numFmtId="168" xfId="0" applyAlignment="1" applyBorder="1" applyFont="1" applyNumberFormat="1">
      <alignment horizontal="center" readingOrder="0" vertical="center"/>
    </xf>
    <xf borderId="1" fillId="12" fontId="20" numFmtId="0" xfId="0" applyAlignment="1" applyBorder="1" applyFill="1" applyFont="1">
      <alignment horizontal="center" readingOrder="0" vertical="center"/>
    </xf>
    <xf borderId="1" fillId="0" fontId="20" numFmtId="4" xfId="0" applyAlignment="1" applyBorder="1" applyFont="1" applyNumberFormat="1">
      <alignment horizontal="center" readingOrder="0" vertical="center"/>
    </xf>
    <xf borderId="1" fillId="9" fontId="20" numFmtId="4" xfId="0" applyAlignment="1" applyBorder="1" applyFill="1" applyFont="1" applyNumberFormat="1">
      <alignment horizontal="right" readingOrder="0" vertical="center"/>
    </xf>
    <xf borderId="1" fillId="0" fontId="20" numFmtId="4" xfId="0" applyAlignment="1" applyBorder="1" applyFont="1" applyNumberFormat="1">
      <alignment horizontal="right" vertical="center"/>
    </xf>
    <xf borderId="1" fillId="0" fontId="20" numFmtId="0" xfId="0" applyAlignment="1" applyBorder="1" applyFont="1">
      <alignment horizontal="center" readingOrder="0"/>
    </xf>
    <xf borderId="0" fillId="0" fontId="20" numFmtId="0" xfId="0" applyAlignment="1" applyFont="1">
      <alignment horizontal="center" readingOrder="0" vertical="center"/>
    </xf>
    <xf borderId="1" fillId="5" fontId="20" numFmtId="0" xfId="0" applyAlignment="1" applyBorder="1" applyFill="1" applyFont="1">
      <alignment horizontal="center" readingOrder="0" vertical="center"/>
    </xf>
    <xf borderId="1" fillId="0" fontId="20" numFmtId="4" xfId="0" applyAlignment="1" applyBorder="1" applyFont="1" applyNumberFormat="1">
      <alignment horizontal="right" readingOrder="0" vertical="center"/>
    </xf>
    <xf borderId="1" fillId="0" fontId="20" numFmtId="0" xfId="0" applyAlignment="1" applyBorder="1" applyFont="1">
      <alignment horizontal="center"/>
    </xf>
    <xf borderId="1" fillId="10" fontId="20" numFmtId="0" xfId="0" applyAlignment="1" applyBorder="1" applyFill="1" applyFont="1">
      <alignment horizontal="center" readingOrder="0" vertical="center"/>
    </xf>
    <xf borderId="1" fillId="0" fontId="20" numFmtId="0" xfId="0" applyAlignment="1" applyBorder="1" applyFont="1">
      <alignment horizontal="center" vertical="center"/>
    </xf>
    <xf borderId="15" fillId="0" fontId="22" numFmtId="0" xfId="0" applyAlignment="1" applyBorder="1" applyFont="1">
      <alignment horizontal="left" readingOrder="0" vertical="center"/>
    </xf>
    <xf borderId="1" fillId="0" fontId="20" numFmtId="0" xfId="0" applyAlignment="1" applyBorder="1" applyFont="1">
      <alignment readingOrder="0"/>
    </xf>
    <xf borderId="9" fillId="0" fontId="5" numFmtId="0" xfId="0" applyAlignment="1" applyBorder="1" applyFont="1">
      <alignment horizontal="center"/>
    </xf>
    <xf borderId="9" fillId="0" fontId="5" numFmtId="3" xfId="0" applyAlignment="1" applyBorder="1" applyFont="1" applyNumberFormat="1">
      <alignment horizontal="center"/>
    </xf>
    <xf borderId="1" fillId="14" fontId="20" numFmtId="0" xfId="0" applyAlignment="1" applyBorder="1" applyFill="1" applyFont="1">
      <alignment horizontal="center" readingOrder="0" vertical="center"/>
    </xf>
    <xf borderId="1" fillId="0" fontId="20" numFmtId="4" xfId="0" applyAlignment="1" applyBorder="1" applyFont="1" applyNumberFormat="1">
      <alignment horizontal="left" readingOrder="0" vertical="center"/>
    </xf>
    <xf borderId="0" fillId="0" fontId="20" numFmtId="4" xfId="0" applyFont="1" applyNumberFormat="1"/>
    <xf borderId="1" fillId="5" fontId="18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15" fontId="20" numFmtId="0" xfId="0" applyAlignment="1" applyBorder="1" applyFill="1" applyFont="1">
      <alignment horizontal="center" readingOrder="0" vertical="center"/>
    </xf>
    <xf borderId="1" fillId="9" fontId="20" numFmtId="0" xfId="0" applyAlignment="1" applyBorder="1" applyFill="1" applyFont="1">
      <alignment horizontal="center" readingOrder="0" vertical="center"/>
    </xf>
    <xf borderId="1" fillId="12" fontId="3" numFmtId="4" xfId="0" applyAlignment="1" applyBorder="1" applyFill="1" applyFont="1" applyNumberFormat="1">
      <alignment horizontal="center" readingOrder="0" vertical="center"/>
    </xf>
    <xf borderId="1" fillId="0" fontId="4" numFmtId="0" xfId="0" applyBorder="1" applyFont="1"/>
    <xf borderId="5" fillId="0" fontId="4" numFmtId="168" xfId="0" applyAlignment="1" applyBorder="1" applyFont="1" applyNumberFormat="1">
      <alignment horizontal="center"/>
    </xf>
    <xf borderId="15" fillId="12" fontId="22" numFmtId="0" xfId="0" applyAlignment="1" applyBorder="1" applyFill="1" applyFont="1">
      <alignment horizontal="left" readingOrder="0" vertical="center"/>
    </xf>
    <xf borderId="5" fillId="12" fontId="4" numFmtId="0" xfId="0" applyAlignment="1" applyBorder="1" applyFill="1" applyFont="1">
      <alignment horizontal="center" readingOrder="0"/>
    </xf>
    <xf borderId="5" fillId="0" fontId="4" numFmtId="4" xfId="0" applyAlignment="1" applyBorder="1" applyFont="1" applyNumberFormat="1">
      <alignment horizontal="center"/>
    </xf>
    <xf borderId="5" fillId="9" fontId="4" numFmtId="4" xfId="0" applyAlignment="1" applyBorder="1" applyFill="1" applyFont="1" applyNumberFormat="1">
      <alignment horizontal="right" readingOrder="0"/>
    </xf>
    <xf borderId="5" fillId="0" fontId="4" numFmtId="4" xfId="0" applyBorder="1" applyFont="1" applyNumberFormat="1"/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4" fillId="0" fontId="3" numFmtId="4" xfId="0" applyAlignment="1" applyBorder="1" applyFont="1" applyNumberFormat="1">
      <alignment horizontal="center" vertical="center"/>
    </xf>
    <xf borderId="1" fillId="16" fontId="20" numFmtId="0" xfId="0" applyAlignment="1" applyBorder="1" applyFill="1" applyFont="1">
      <alignment horizontal="center" readingOrder="0" vertical="center"/>
    </xf>
    <xf borderId="15" fillId="5" fontId="18" numFmtId="0" xfId="0" applyAlignment="1" applyBorder="1" applyFill="1" applyFont="1">
      <alignment horizontal="center" readingOrder="0" vertical="center"/>
    </xf>
    <xf borderId="0" fillId="0" fontId="20" numFmtId="0" xfId="0" applyAlignment="1" applyFont="1">
      <alignment horizontal="center"/>
    </xf>
    <xf borderId="0" fillId="9" fontId="20" numFmtId="0" xfId="0" applyFill="1" applyFont="1"/>
    <xf borderId="1" fillId="9" fontId="20" numFmtId="4" xfId="0" applyAlignment="1" applyBorder="1" applyFill="1" applyFont="1" applyNumberForma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1" fillId="0" fontId="19" numFmtId="0" xfId="0" applyAlignment="1" applyBorder="1" applyFont="1">
      <alignment horizontal="center" readingOrder="0" shrinkToFit="0" vertical="center" wrapText="1"/>
    </xf>
    <xf borderId="1" fillId="9" fontId="20" numFmtId="0" xfId="0" applyAlignment="1" applyBorder="1" applyFill="1" applyFont="1">
      <alignment readingOrder="0"/>
    </xf>
    <xf borderId="3" fillId="2" fontId="6" numFmtId="164" xfId="0" applyAlignment="1" applyBorder="1" applyFill="1" applyFont="1" applyNumberFormat="1">
      <alignment horizontal="center" shrinkToFit="0" vertical="center" wrapText="1"/>
    </xf>
    <xf borderId="1" fillId="0" fontId="20" numFmtId="4" xfId="0" applyAlignment="1" applyBorder="1" applyFont="1" applyNumberFormat="1">
      <alignment horizontal="center" readingOrder="0"/>
    </xf>
    <xf borderId="1" fillId="0" fontId="20" numFmtId="4" xfId="0" applyAlignment="1" applyBorder="1" applyFont="1" applyNumberFormat="1">
      <alignment horizontal="center"/>
    </xf>
    <xf borderId="3" fillId="2" fontId="15" numFmtId="0" xfId="0" applyAlignment="1" applyBorder="1" applyFill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shrinkToFit="0" vertical="center" wrapText="1"/>
    </xf>
    <xf borderId="1" fillId="0" fontId="3" numFmtId="170" xfId="0" applyAlignment="1" applyBorder="1" applyFont="1" applyNumberFormat="1">
      <alignment horizontal="center" vertical="center"/>
    </xf>
    <xf borderId="1" fillId="17" fontId="20" numFmtId="0" xfId="0" applyAlignment="1" applyBorder="1" applyFill="1" applyFont="1">
      <alignment horizontal="center" vertical="center"/>
    </xf>
    <xf borderId="1" fillId="17" fontId="20" numFmtId="168" xfId="0" applyAlignment="1" applyBorder="1" applyFill="1" applyFont="1" applyNumberFormat="1">
      <alignment horizontal="center" readingOrder="0" vertical="center"/>
    </xf>
    <xf borderId="1" fillId="17" fontId="20" numFmtId="0" xfId="0" applyAlignment="1" applyBorder="1" applyFill="1" applyFont="1">
      <alignment horizontal="center" readingOrder="0" vertical="center"/>
    </xf>
    <xf borderId="1" fillId="17" fontId="20" numFmtId="4" xfId="0" applyAlignment="1" applyBorder="1" applyFill="1" applyFont="1" applyNumberFormat="1">
      <alignment horizontal="center" readingOrder="0" vertical="center"/>
    </xf>
    <xf borderId="1" fillId="17" fontId="20" numFmtId="4" xfId="0" applyAlignment="1" applyBorder="1" applyFill="1" applyFont="1" applyNumberFormat="1">
      <alignment horizontal="right" readingOrder="0" vertical="center"/>
    </xf>
    <xf borderId="1" fillId="5" fontId="3" numFmtId="170" xfId="0" applyAlignment="1" applyBorder="1" applyFill="1" applyFont="1" applyNumberFormat="1">
      <alignment horizontal="center" readingOrder="0" vertical="center"/>
    </xf>
    <xf borderId="1" fillId="17" fontId="20" numFmtId="0" xfId="0" applyAlignment="1" applyBorder="1" applyFill="1" applyFont="1">
      <alignment horizontal="center" readingOrder="0"/>
    </xf>
    <xf borderId="1" fillId="17" fontId="20" numFmtId="0" xfId="0" applyBorder="1" applyFill="1" applyFont="1"/>
    <xf borderId="1" fillId="12" fontId="22" numFmtId="0" xfId="0" applyAlignment="1" applyBorder="1" applyFill="1" applyFont="1">
      <alignment horizontal="left" readingOrder="0" vertical="center"/>
    </xf>
    <xf borderId="0" fillId="17" fontId="20" numFmtId="0" xfId="0" applyFill="1" applyFont="1"/>
    <xf borderId="1" fillId="2" fontId="20" numFmtId="0" xfId="0" applyAlignment="1" applyBorder="1" applyFill="1" applyFont="1">
      <alignment horizontal="center" vertical="center"/>
    </xf>
    <xf borderId="1" fillId="2" fontId="20" numFmtId="168" xfId="0" applyAlignment="1" applyBorder="1" applyFill="1" applyFont="1" applyNumberFormat="1">
      <alignment horizontal="center" readingOrder="0" vertical="center"/>
    </xf>
    <xf borderId="1" fillId="2" fontId="20" numFmtId="4" xfId="0" applyAlignment="1" applyBorder="1" applyFill="1" applyFont="1" applyNumberFormat="1">
      <alignment horizontal="right" readingOrder="0" vertical="center"/>
    </xf>
    <xf borderId="1" fillId="2" fontId="3" numFmtId="4" xfId="0" applyAlignment="1" applyBorder="1" applyFill="1" applyFont="1" applyNumberFormat="1">
      <alignment horizontal="center" readingOrder="0" vertical="center"/>
    </xf>
    <xf borderId="1" fillId="10" fontId="20" numFmtId="4" xfId="0" applyAlignment="1" applyBorder="1" applyFill="1" applyFont="1" applyNumberFormat="1">
      <alignment horizontal="right" readingOrder="0" vertical="center"/>
    </xf>
    <xf borderId="1" fillId="2" fontId="22" numFmtId="0" xfId="0" applyAlignment="1" applyBorder="1" applyFill="1" applyFont="1">
      <alignment horizontal="left" readingOrder="0" vertical="center"/>
    </xf>
    <xf borderId="9" fillId="0" fontId="14" numFmtId="0" xfId="0" applyAlignment="1" applyBorder="1" applyFont="1">
      <alignment horizontal="center" shrinkToFit="0" wrapText="1"/>
    </xf>
    <xf borderId="1" fillId="0" fontId="3" numFmtId="4" xfId="0" applyAlignment="1" applyBorder="1" applyFont="1" applyNumberFormat="1">
      <alignment horizontal="center" readingOrder="0" shrinkToFit="0" vertical="center" wrapText="1"/>
    </xf>
    <xf borderId="1" fillId="5" fontId="20" numFmtId="0" xfId="0" applyAlignment="1" applyBorder="1" applyFill="1" applyFont="1">
      <alignment horizontal="center" readingOrder="0"/>
    </xf>
    <xf borderId="9" fillId="0" fontId="1" numFmtId="0" xfId="0" applyAlignment="1" applyBorder="1" applyFont="1">
      <alignment horizontal="right" readingOrder="0" vertical="bottom"/>
    </xf>
    <xf borderId="5" fillId="14" fontId="4" numFmtId="0" xfId="0" applyAlignment="1" applyBorder="1" applyFill="1" applyFont="1">
      <alignment horizontal="center" readingOrder="0"/>
    </xf>
    <xf borderId="5" fillId="2" fontId="4" numFmtId="4" xfId="0" applyAlignment="1" applyBorder="1" applyFill="1" applyFont="1" applyNumberFormat="1">
      <alignment horizontal="right" readingOrder="0"/>
    </xf>
    <xf borderId="5" fillId="0" fontId="4" numFmtId="4" xfId="0" applyAlignment="1" applyBorder="1" applyFont="1" applyNumberFormat="1">
      <alignment horizontal="right"/>
    </xf>
    <xf borderId="5" fillId="0" fontId="4" numFmtId="0" xfId="0" applyAlignment="1" applyBorder="1" applyFont="1">
      <alignment horizontal="center" readingOrder="0" vertical="bottom"/>
    </xf>
    <xf borderId="1" fillId="0" fontId="3" numFmtId="170" xfId="0" applyAlignment="1" applyBorder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center" readingOrder="0" vertical="center"/>
    </xf>
    <xf borderId="12" fillId="0" fontId="3" numFmtId="169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 readingOrder="0" vertical="center"/>
    </xf>
    <xf borderId="5" fillId="0" fontId="4" numFmtId="168" xfId="0" applyAlignment="1" applyBorder="1" applyFont="1" applyNumberFormat="1">
      <alignment horizontal="center" readingOrder="0"/>
    </xf>
    <xf borderId="0" fillId="5" fontId="20" numFmtId="0" xfId="0" applyAlignment="1" applyFill="1" applyFont="1">
      <alignment readingOrder="0"/>
    </xf>
    <xf borderId="5" fillId="0" fontId="4" numFmtId="0" xfId="0" applyAlignment="1" applyBorder="1" applyFont="1">
      <alignment horizontal="center" readingOrder="0"/>
    </xf>
    <xf borderId="1" fillId="12" fontId="3" numFmtId="170" xfId="0" applyAlignment="1" applyBorder="1" applyFill="1" applyFont="1" applyNumberFormat="1">
      <alignment horizontal="left" readingOrder="0" shrinkToFit="0" vertical="center" wrapText="1"/>
    </xf>
    <xf borderId="0" fillId="0" fontId="3" numFmtId="169" xfId="0" applyAlignment="1" applyFont="1" applyNumberFormat="1">
      <alignment horizontal="center" vertical="center"/>
    </xf>
    <xf borderId="1" fillId="15" fontId="20" numFmtId="0" xfId="0" applyAlignment="1" applyBorder="1" applyFill="1" applyFont="1">
      <alignment horizontal="center" vertical="center"/>
    </xf>
    <xf borderId="1" fillId="15" fontId="20" numFmtId="168" xfId="0" applyAlignment="1" applyBorder="1" applyFill="1" applyFont="1" applyNumberFormat="1">
      <alignment horizontal="center" readingOrder="0" vertical="center"/>
    </xf>
    <xf borderId="1" fillId="18" fontId="20" numFmtId="0" xfId="0" applyAlignment="1" applyBorder="1" applyFill="1" applyFont="1">
      <alignment horizontal="center" readingOrder="0" vertical="center"/>
    </xf>
    <xf borderId="1" fillId="15" fontId="20" numFmtId="4" xfId="0" applyAlignment="1" applyBorder="1" applyFill="1" applyFont="1" applyNumberFormat="1">
      <alignment horizontal="right" readingOrder="0" vertical="center"/>
    </xf>
    <xf borderId="15" fillId="0" fontId="3" numFmtId="0" xfId="0" applyAlignment="1" applyBorder="1" applyFont="1">
      <alignment horizontal="center" readingOrder="0" vertical="center"/>
    </xf>
    <xf borderId="1" fillId="19" fontId="20" numFmtId="0" xfId="0" applyAlignment="1" applyBorder="1" applyFill="1" applyFont="1">
      <alignment horizontal="center" readingOrder="0" vertical="center"/>
    </xf>
    <xf borderId="1" fillId="20" fontId="3" numFmtId="170" xfId="0" applyAlignment="1" applyBorder="1" applyFill="1" applyFont="1" applyNumberFormat="1">
      <alignment horizontal="center" vertical="center"/>
    </xf>
    <xf borderId="15" fillId="2" fontId="22" numFmtId="0" xfId="0" applyAlignment="1" applyBorder="1" applyFill="1" applyFont="1">
      <alignment horizontal="left" readingOrder="0" vertical="center"/>
    </xf>
    <xf borderId="0" fillId="0" fontId="20" numFmtId="0" xfId="0" applyAlignment="1" applyFont="1">
      <alignment horizontal="center" readingOrder="0"/>
    </xf>
    <xf borderId="15" fillId="0" fontId="3" numFmtId="169" xfId="0" applyAlignment="1" applyBorder="1" applyFont="1" applyNumberFormat="1">
      <alignment horizontal="center" vertical="center"/>
    </xf>
    <xf borderId="1" fillId="17" fontId="20" numFmtId="0" xfId="0" applyAlignment="1" applyBorder="1" applyFill="1" applyFont="1">
      <alignment horizontal="center"/>
    </xf>
    <xf borderId="1" fillId="12" fontId="20" numFmtId="0" xfId="0" applyAlignment="1" applyBorder="1" applyFill="1" applyFont="1">
      <alignment horizontal="center" vertical="center"/>
    </xf>
    <xf borderId="1" fillId="12" fontId="20" numFmtId="168" xfId="0" applyAlignment="1" applyBorder="1" applyFill="1" applyFont="1" applyNumberFormat="1">
      <alignment horizontal="center" readingOrder="0" vertical="center"/>
    </xf>
    <xf borderId="1" fillId="12" fontId="20" numFmtId="4" xfId="0" applyAlignment="1" applyBorder="1" applyFill="1" applyFont="1" applyNumberFormat="1">
      <alignment horizontal="right" readingOrder="0" vertical="center"/>
    </xf>
    <xf borderId="0" fillId="0" fontId="22" numFmtId="0" xfId="0" applyAlignment="1" applyFont="1">
      <alignment horizontal="left" readingOrder="0" vertical="center"/>
    </xf>
    <xf borderId="1" fillId="2" fontId="20" numFmtId="0" xfId="0" applyAlignment="1" applyBorder="1" applyFill="1" applyFont="1">
      <alignment readingOrder="0"/>
    </xf>
    <xf borderId="1" fillId="12" fontId="3" numFmtId="0" xfId="0" applyAlignment="1" applyBorder="1" applyFill="1" applyFont="1">
      <alignment horizontal="left" readingOrder="0" vertical="center"/>
    </xf>
    <xf borderId="1" fillId="21" fontId="20" numFmtId="0" xfId="0" applyAlignment="1" applyBorder="1" applyFill="1" applyFont="1">
      <alignment horizontal="center" readingOrder="0" vertical="center"/>
    </xf>
    <xf borderId="1" fillId="21" fontId="20" numFmtId="4" xfId="0" applyAlignment="1" applyBorder="1" applyFill="1" applyFont="1" applyNumberFormat="1">
      <alignment horizontal="right" readingOrder="0" vertical="center"/>
    </xf>
    <xf borderId="9" fillId="0" fontId="1" numFmtId="167" xfId="0" applyAlignment="1" applyBorder="1" applyFont="1" applyNumberFormat="1">
      <alignment horizontal="right" readingOrder="0" vertical="bottom"/>
    </xf>
    <xf borderId="1" fillId="12" fontId="3" numFmtId="4" xfId="0" applyAlignment="1" applyBorder="1" applyFill="1" applyFont="1" applyNumberFormat="1">
      <alignment horizontal="center" vertical="center"/>
    </xf>
    <xf borderId="1" fillId="9" fontId="20" numFmtId="168" xfId="0" applyAlignment="1" applyBorder="1" applyFill="1" applyFont="1" applyNumberFormat="1">
      <alignment horizontal="center" readingOrder="0" vertical="center"/>
    </xf>
    <xf borderId="1" fillId="9" fontId="20" numFmtId="0" xfId="0" applyAlignment="1" applyBorder="1" applyFill="1" applyFont="1">
      <alignment horizontal="center" readingOrder="0"/>
    </xf>
    <xf borderId="3" fillId="0" fontId="19" numFmtId="0" xfId="0" applyAlignment="1" applyBorder="1" applyFont="1">
      <alignment horizontal="center" readingOrder="0" shrinkToFit="0" vertical="center" wrapText="1"/>
    </xf>
    <xf borderId="1" fillId="14" fontId="20" numFmtId="0" xfId="0" applyAlignment="1" applyBorder="1" applyFill="1" applyFont="1">
      <alignment horizontal="center" vertical="center"/>
    </xf>
    <xf borderId="1" fillId="14" fontId="20" numFmtId="168" xfId="0" applyAlignment="1" applyBorder="1" applyFill="1" applyFont="1" applyNumberFormat="1">
      <alignment horizontal="center" readingOrder="0" vertical="center"/>
    </xf>
    <xf borderId="1" fillId="14" fontId="20" numFmtId="4" xfId="0" applyAlignment="1" applyBorder="1" applyFill="1" applyFont="1" applyNumberFormat="1">
      <alignment horizontal="right" readingOrder="0" vertical="center"/>
    </xf>
    <xf borderId="1" fillId="0" fontId="3" numFmtId="170" xfId="0" applyAlignment="1" applyBorder="1" applyFont="1" applyNumberFormat="1">
      <alignment horizontal="left" readingOrder="0" vertical="center"/>
    </xf>
    <xf borderId="1" fillId="2" fontId="20" numFmtId="0" xfId="0" applyAlignment="1" applyBorder="1" applyFill="1" applyFont="1">
      <alignment horizontal="center" readingOrder="0" vertical="center"/>
    </xf>
    <xf borderId="10" fillId="0" fontId="3" numFmtId="172" xfId="0" applyAlignment="1" applyBorder="1" applyFont="1" applyNumberFormat="1">
      <alignment horizontal="center" vertical="center"/>
    </xf>
    <xf borderId="1" fillId="6" fontId="3" numFmtId="4" xfId="0" applyAlignment="1" applyBorder="1" applyFill="1" applyFont="1" applyNumberFormat="1">
      <alignment horizontal="center" vertical="center"/>
    </xf>
    <xf borderId="1" fillId="9" fontId="20" numFmtId="173" xfId="0" applyAlignment="1" applyBorder="1" applyFill="1" applyFont="1" applyNumberFormat="1">
      <alignment horizontal="center" readingOrder="0" vertical="center"/>
    </xf>
    <xf borderId="1" fillId="22" fontId="20" numFmtId="0" xfId="0" applyAlignment="1" applyBorder="1" applyFill="1" applyFont="1">
      <alignment horizontal="center" readingOrder="0" vertical="center"/>
    </xf>
    <xf borderId="1" fillId="20" fontId="20" numFmtId="0" xfId="0" applyBorder="1" applyFill="1" applyFont="1"/>
    <xf borderId="1" fillId="23" fontId="20" numFmtId="0" xfId="0" applyAlignment="1" applyBorder="1" applyFill="1" applyFont="1">
      <alignment horizontal="center" readingOrder="0" vertical="center"/>
    </xf>
    <xf borderId="1" fillId="5" fontId="3" numFmtId="3" xfId="0" applyAlignment="1" applyBorder="1" applyFill="1" applyFont="1" applyNumberFormat="1">
      <alignment horizontal="center" readingOrder="0" shrinkToFit="0" vertical="center" wrapText="1"/>
    </xf>
    <xf borderId="1" fillId="2" fontId="3" numFmtId="4" xfId="0" applyAlignment="1" applyBorder="1" applyFill="1" applyFont="1" applyNumberFormat="1">
      <alignment horizontal="center" vertical="center"/>
    </xf>
    <xf borderId="5" fillId="14" fontId="4" numFmtId="4" xfId="0" applyAlignment="1" applyBorder="1" applyFill="1" applyFont="1" applyNumberFormat="1">
      <alignment horizontal="right" readingOrder="0"/>
    </xf>
    <xf borderId="1" fillId="0" fontId="4" numFmtId="168" xfId="0" applyAlignment="1" applyBorder="1" applyFont="1" applyNumberFormat="1">
      <alignment horizontal="center"/>
    </xf>
    <xf borderId="5" fillId="0" fontId="4" numFmtId="4" xfId="0" applyAlignment="1" applyBorder="1" applyFont="1" applyNumberFormat="1">
      <alignment horizontal="center" readingOrder="0"/>
    </xf>
    <xf borderId="3" fillId="0" fontId="4" numFmtId="0" xfId="0" applyBorder="1" applyFont="1"/>
    <xf borderId="4" fillId="0" fontId="4" numFmtId="0" xfId="0" applyAlignment="1" applyBorder="1" applyFont="1">
      <alignment horizontal="center" readingOrder="0"/>
    </xf>
    <xf borderId="4" fillId="0" fontId="4" numFmtId="4" xfId="0" applyAlignment="1" applyBorder="1" applyFont="1" applyNumberFormat="1">
      <alignment horizontal="center"/>
    </xf>
    <xf borderId="4" fillId="14" fontId="4" numFmtId="4" xfId="0" applyAlignment="1" applyBorder="1" applyFill="1" applyFont="1" applyNumberFormat="1">
      <alignment horizontal="right" readingOrder="0"/>
    </xf>
    <xf borderId="4" fillId="0" fontId="4" numFmtId="4" xfId="0" applyBorder="1" applyFont="1" applyNumberFormat="1"/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left" readingOrder="0"/>
    </xf>
    <xf borderId="1" fillId="0" fontId="4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4" xfId="0" applyAlignment="1" applyBorder="1" applyFont="1" applyNumberFormat="1">
      <alignment horizontal="center"/>
    </xf>
    <xf borderId="1" fillId="14" fontId="4" numFmtId="4" xfId="0" applyAlignment="1" applyBorder="1" applyFill="1" applyFont="1" applyNumberFormat="1">
      <alignment horizontal="right" readingOrder="0"/>
    </xf>
    <xf borderId="1" fillId="0" fontId="4" numFmtId="4" xfId="0" applyBorder="1" applyFont="1" applyNumberFormat="1"/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20" fillId="0" fontId="4" numFmtId="0" xfId="0" applyAlignment="1" applyBorder="1" applyFont="1">
      <alignment horizontal="center" vertical="bottom"/>
    </xf>
    <xf borderId="1" fillId="0" fontId="4" numFmtId="4" xfId="0" applyAlignment="1" applyBorder="1" applyFont="1" applyNumberFormat="1">
      <alignment horizontal="center" readingOrder="0"/>
    </xf>
    <xf borderId="1" fillId="20" fontId="4" numFmtId="0" xfId="0" applyAlignment="1" applyBorder="1" applyFill="1" applyFont="1">
      <alignment readingOrder="0" vertical="bottom"/>
    </xf>
    <xf borderId="5" fillId="0" fontId="4" numFmtId="4" xfId="0" applyAlignment="1" applyBorder="1" applyFont="1" applyNumberFormat="1">
      <alignment horizontal="right" readingOrder="0"/>
    </xf>
    <xf borderId="1" fillId="2" fontId="4" numFmtId="0" xfId="0" applyAlignment="1" applyBorder="1" applyFill="1" applyFont="1">
      <alignment horizontal="left" readingOrder="0"/>
    </xf>
    <xf borderId="1" fillId="17" fontId="4" numFmtId="0" xfId="0" applyAlignment="1" applyBorder="1" applyFill="1" applyFont="1">
      <alignment horizontal="left" readingOrder="0"/>
    </xf>
    <xf borderId="1" fillId="24" fontId="20" numFmtId="0" xfId="0" applyAlignment="1" applyBorder="1" applyFill="1" applyFont="1">
      <alignment horizontal="center" vertical="center"/>
    </xf>
    <xf borderId="1" fillId="24" fontId="20" numFmtId="168" xfId="0" applyAlignment="1" applyBorder="1" applyFill="1" applyFont="1" applyNumberFormat="1">
      <alignment horizontal="center" readingOrder="0" vertical="center"/>
    </xf>
    <xf borderId="1" fillId="24" fontId="20" numFmtId="4" xfId="0" applyAlignment="1" applyBorder="1" applyFill="1" applyFont="1" applyNumberFormat="1">
      <alignment horizontal="right" readingOrder="0" vertical="center"/>
    </xf>
    <xf borderId="5" fillId="10" fontId="4" numFmtId="0" xfId="0" applyAlignment="1" applyBorder="1" applyFill="1" applyFont="1">
      <alignment horizontal="center" readingOrder="0"/>
    </xf>
    <xf borderId="5" fillId="10" fontId="4" numFmtId="4" xfId="0" applyAlignment="1" applyBorder="1" applyFill="1" applyFont="1" applyNumberFormat="1">
      <alignment horizontal="right"/>
    </xf>
    <xf borderId="5" fillId="0" fontId="4" numFmtId="0" xfId="0" applyAlignment="1" applyBorder="1" applyFont="1">
      <alignment vertical="bottom"/>
    </xf>
    <xf borderId="1" fillId="24" fontId="4" numFmtId="4" xfId="0" applyAlignment="1" applyBorder="1" applyFill="1" applyFont="1" applyNumberFormat="1">
      <alignment horizontal="right" readingOrder="0"/>
    </xf>
    <xf borderId="1" fillId="2" fontId="4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20" numFmtId="0" xfId="0" applyAlignment="1" applyBorder="1" applyFont="1">
      <alignment horizontal="left" readingOrder="0"/>
    </xf>
    <xf borderId="1" fillId="0" fontId="20" numFmtId="0" xfId="0" applyAlignment="1" applyBorder="1" applyFont="1">
      <alignment horizontal="left"/>
    </xf>
    <xf borderId="1" fillId="0" fontId="20" numFmtId="4" xfId="0" applyAlignment="1" applyBorder="1" applyFont="1" applyNumberFormat="1">
      <alignment readingOrder="0"/>
    </xf>
    <xf borderId="1" fillId="0" fontId="4" numFmtId="168" xfId="0" applyAlignment="1" applyBorder="1" applyFont="1" applyNumberFormat="1">
      <alignment horizontal="center" readingOrder="0"/>
    </xf>
    <xf borderId="1" fillId="19" fontId="4" numFmtId="0" xfId="0" applyAlignment="1" applyBorder="1" applyFill="1" applyFont="1">
      <alignment horizontal="center" readingOrder="0"/>
    </xf>
    <xf borderId="1" fillId="0" fontId="19" numFmtId="0" xfId="0" applyAlignment="1" applyBorder="1" applyFont="1">
      <alignment horizontal="center" readingOrder="0" shrinkToFit="0" vertical="center" wrapText="1"/>
    </xf>
    <xf borderId="1" fillId="5" fontId="23" numFmtId="0" xfId="0" applyAlignment="1" applyBorder="1" applyFill="1" applyFont="1">
      <alignment horizontal="center" readingOrder="0" vertical="center"/>
    </xf>
    <xf borderId="15" fillId="9" fontId="20" numFmtId="0" xfId="0" applyAlignment="1" applyBorder="1" applyFill="1" applyFont="1">
      <alignment readingOrder="0"/>
    </xf>
    <xf borderId="21" fillId="0" fontId="20" numFmtId="0" xfId="0" applyAlignment="1" applyBorder="1" applyFont="1">
      <alignment readingOrder="0"/>
    </xf>
    <xf borderId="15" fillId="0" fontId="20" numFmtId="0" xfId="0" applyBorder="1" applyFont="1"/>
    <xf borderId="21" fillId="0" fontId="20" numFmtId="0" xfId="0" applyBorder="1" applyFont="1"/>
    <xf borderId="1" fillId="0" fontId="4" numFmtId="0" xfId="0" applyAlignment="1" applyBorder="1" applyFont="1">
      <alignment vertical="bottom"/>
    </xf>
    <xf borderId="5" fillId="0" fontId="4" numFmtId="168" xfId="0" applyAlignment="1" applyBorder="1" applyFont="1" applyNumberFormat="1">
      <alignment horizontal="center" readingOrder="0" vertical="bottom"/>
    </xf>
    <xf borderId="1" fillId="0" fontId="22" numFmtId="0" xfId="0" applyAlignment="1" applyBorder="1" applyFont="1">
      <alignment horizontal="left" readingOrder="0" vertical="center"/>
    </xf>
    <xf borderId="5" fillId="0" fontId="4" numFmtId="4" xfId="0" applyAlignment="1" applyBorder="1" applyFont="1" applyNumberFormat="1">
      <alignment horizontal="center" vertical="bottom"/>
    </xf>
    <xf borderId="5" fillId="0" fontId="4" numFmtId="4" xfId="0" applyAlignment="1" applyBorder="1" applyFont="1" applyNumberFormat="1">
      <alignment horizontal="right" readingOrder="0" vertical="bottom"/>
    </xf>
    <xf borderId="20" fillId="0" fontId="4" numFmtId="0" xfId="0" applyAlignment="1" applyBorder="1" applyFont="1">
      <alignment vertical="bottom"/>
    </xf>
    <xf borderId="21" fillId="0" fontId="4" numFmtId="0" xfId="0" applyAlignment="1" applyBorder="1" applyFont="1">
      <alignment vertical="bottom"/>
    </xf>
    <xf borderId="1" fillId="15" fontId="4" numFmtId="0" xfId="0" applyAlignment="1" applyBorder="1" applyFill="1" applyFont="1">
      <alignment horizontal="center" readingOrder="0"/>
    </xf>
    <xf borderId="5" fillId="0" fontId="4" numFmtId="4" xfId="0" applyAlignment="1" applyBorder="1" applyFont="1" applyNumberFormat="1">
      <alignment horizontal="center" readingOrder="0" vertical="bottom"/>
    </xf>
    <xf borderId="15" fillId="0" fontId="20" numFmtId="0" xfId="0" applyAlignment="1" applyBorder="1" applyFont="1">
      <alignment readingOrder="0"/>
    </xf>
    <xf borderId="1" fillId="18" fontId="4" numFmtId="0" xfId="0" applyAlignment="1" applyBorder="1" applyFill="1" applyFont="1">
      <alignment horizontal="center" readingOrder="0"/>
    </xf>
    <xf borderId="1" fillId="0" fontId="4" numFmtId="4" xfId="0" applyAlignment="1" applyBorder="1" applyFont="1" applyNumberFormat="1">
      <alignment horizontal="right" readingOrder="0" vertical="bottom"/>
    </xf>
    <xf borderId="15" fillId="0" fontId="4" numFmtId="0" xfId="0" applyAlignment="1" applyBorder="1" applyFont="1">
      <alignment readingOrder="0" vertical="bottom"/>
    </xf>
    <xf borderId="1" fillId="24" fontId="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8" fillId="0" fontId="4" numFmtId="0" xfId="0" applyBorder="1" applyFont="1"/>
    <xf borderId="9" fillId="0" fontId="4" numFmtId="168" xfId="0" applyAlignment="1" applyBorder="1" applyFont="1" applyNumberFormat="1">
      <alignment horizontal="center" readingOrder="0"/>
    </xf>
    <xf borderId="9" fillId="0" fontId="4" numFmtId="0" xfId="0" applyAlignment="1" applyBorder="1" applyFont="1">
      <alignment horizontal="center" readingOrder="0"/>
    </xf>
    <xf borderId="9" fillId="0" fontId="4" numFmtId="4" xfId="0" applyAlignment="1" applyBorder="1" applyFont="1" applyNumberFormat="1">
      <alignment horizontal="center"/>
    </xf>
    <xf borderId="9" fillId="0" fontId="4" numFmtId="4" xfId="0" applyAlignment="1" applyBorder="1" applyFont="1" applyNumberFormat="1">
      <alignment horizontal="right" readingOrder="0" vertical="bottom"/>
    </xf>
    <xf borderId="9" fillId="0" fontId="4" numFmtId="0" xfId="0" applyAlignment="1" applyBorder="1" applyFont="1">
      <alignment horizontal="center" readingOrder="0" vertical="bottom"/>
    </xf>
    <xf borderId="0" fillId="17" fontId="4" numFmtId="168" xfId="0" applyAlignment="1" applyFill="1" applyFont="1" applyNumberFormat="1">
      <alignment horizontal="center" readingOrder="0" vertical="bottom"/>
    </xf>
    <xf borderId="15" fillId="17" fontId="20" numFmtId="0" xfId="0" applyBorder="1" applyFill="1" applyFont="1"/>
    <xf borderId="21" fillId="17" fontId="20" numFmtId="0" xfId="0" applyBorder="1" applyFill="1" applyFont="1"/>
    <xf borderId="1" fillId="25" fontId="20" numFmtId="0" xfId="0" applyAlignment="1" applyBorder="1" applyFill="1" applyFont="1">
      <alignment horizontal="center" vertical="center"/>
    </xf>
    <xf borderId="1" fillId="25" fontId="20" numFmtId="168" xfId="0" applyAlignment="1" applyBorder="1" applyFill="1" applyFont="1" applyNumberFormat="1">
      <alignment horizontal="center" readingOrder="0" vertical="center"/>
    </xf>
    <xf borderId="1" fillId="25" fontId="20" numFmtId="4" xfId="0" applyAlignment="1" applyBorder="1" applyFill="1" applyFont="1" applyNumberFormat="1">
      <alignment readingOrder="0"/>
    </xf>
    <xf borderId="5" fillId="25" fontId="4" numFmtId="4" xfId="0" applyAlignment="1" applyBorder="1" applyFill="1" applyFont="1" applyNumberFormat="1">
      <alignment horizontal="right" readingOrder="0" vertical="bottom"/>
    </xf>
    <xf borderId="1" fillId="25" fontId="20" numFmtId="4" xfId="0" applyAlignment="1" applyBorder="1" applyFill="1" applyFont="1" applyNumberFormat="1">
      <alignment horizontal="right" readingOrder="0" vertical="center"/>
    </xf>
    <xf borderId="5" fillId="6" fontId="4" numFmtId="0" xfId="0" applyAlignment="1" applyBorder="1" applyFill="1" applyFont="1">
      <alignment horizontal="center" readingOrder="0"/>
    </xf>
    <xf borderId="1" fillId="0" fontId="3" numFmtId="169" xfId="0" applyAlignment="1" applyBorder="1" applyFont="1" applyNumberFormat="1">
      <alignment horizontal="center" readingOrder="0" vertical="center"/>
    </xf>
    <xf borderId="1" fillId="6" fontId="20" numFmtId="0" xfId="0" applyAlignment="1" applyBorder="1" applyFill="1" applyFont="1">
      <alignment horizontal="center" readingOrder="0" vertical="center"/>
    </xf>
    <xf borderId="1" fillId="0" fontId="3" numFmtId="172" xfId="0" applyAlignment="1" applyBorder="1" applyFont="1" applyNumberFormat="1">
      <alignment horizontal="center" vertical="center"/>
    </xf>
    <xf borderId="1" fillId="5" fontId="3" numFmtId="170" xfId="0" applyAlignment="1" applyBorder="1" applyFill="1" applyFont="1" applyNumberFormat="1">
      <alignment horizontal="center" readingOrder="0" shrinkToFit="0" vertical="center" wrapText="1"/>
    </xf>
    <xf borderId="5" fillId="25" fontId="4" numFmtId="0" xfId="0" applyAlignment="1" applyBorder="1" applyFill="1" applyFont="1">
      <alignment horizontal="center" readingOrder="0"/>
    </xf>
    <xf borderId="1" fillId="17" fontId="20" numFmtId="0" xfId="0" applyAlignment="1" applyBorder="1" applyFill="1" applyFont="1">
      <alignment readingOrder="0"/>
    </xf>
    <xf borderId="1" fillId="26" fontId="20" numFmtId="0" xfId="0" applyAlignment="1" applyBorder="1" applyFill="1" applyFont="1">
      <alignment horizontal="center" vertical="center"/>
    </xf>
    <xf borderId="5" fillId="27" fontId="4" numFmtId="0" xfId="0" applyAlignment="1" applyBorder="1" applyFill="1" applyFont="1">
      <alignment horizontal="center" readingOrder="0"/>
    </xf>
    <xf borderId="1" fillId="26" fontId="20" numFmtId="168" xfId="0" applyAlignment="1" applyBorder="1" applyFill="1" applyFont="1" applyNumberFormat="1">
      <alignment horizontal="center" readingOrder="0" vertical="center"/>
    </xf>
    <xf borderId="1" fillId="26" fontId="20" numFmtId="4" xfId="0" applyAlignment="1" applyBorder="1" applyFill="1" applyFont="1" applyNumberFormat="1">
      <alignment horizontal="right" readingOrder="0" vertical="center"/>
    </xf>
    <xf borderId="1" fillId="26" fontId="4" numFmtId="4" xfId="0" applyAlignment="1" applyBorder="1" applyFill="1" applyFont="1" applyNumberFormat="1">
      <alignment horizontal="right" readingOrder="0"/>
    </xf>
    <xf borderId="5" fillId="0" fontId="4" numFmtId="4" xfId="0" applyAlignment="1" applyBorder="1" applyFont="1" applyNumberFormat="1">
      <alignment vertical="bottom"/>
    </xf>
    <xf borderId="20" fillId="0" fontId="4" numFmtId="0" xfId="0" applyAlignment="1" applyBorder="1" applyFont="1">
      <alignment readingOrder="0" vertical="bottom"/>
    </xf>
    <xf borderId="1" fillId="12" fontId="3" numFmtId="170" xfId="0" applyAlignment="1" applyBorder="1" applyFill="1" applyFont="1" applyNumberFormat="1">
      <alignment horizontal="center" readingOrder="0" vertical="center"/>
    </xf>
    <xf borderId="1" fillId="10" fontId="4" numFmtId="0" xfId="0" applyAlignment="1" applyBorder="1" applyFill="1" applyFont="1">
      <alignment horizontal="center" readingOrder="0"/>
    </xf>
    <xf borderId="1" fillId="26" fontId="4" numFmtId="4" xfId="0" applyAlignment="1" applyBorder="1" applyFill="1" applyFont="1" applyNumberFormat="1">
      <alignment horizontal="right"/>
    </xf>
    <xf borderId="8" fillId="0" fontId="3" numFmtId="169" xfId="0" applyAlignment="1" applyBorder="1" applyFont="1" applyNumberFormat="1">
      <alignment horizontal="center" vertical="center"/>
    </xf>
    <xf borderId="1" fillId="20" fontId="22" numFmtId="0" xfId="0" applyAlignment="1" applyBorder="1" applyFill="1" applyFont="1">
      <alignment horizontal="left" readingOrder="0" vertical="center"/>
    </xf>
    <xf borderId="1" fillId="0" fontId="4" numFmtId="0" xfId="0" applyAlignment="1" applyBorder="1" applyFont="1">
      <alignment vertical="bottom"/>
    </xf>
    <xf borderId="8" fillId="0" fontId="3" numFmtId="4" xfId="0" applyAlignment="1" applyBorder="1" applyFont="1" applyNumberFormat="1">
      <alignment horizontal="center" vertical="center"/>
    </xf>
    <xf borderId="0" fillId="0" fontId="20" numFmtId="168" xfId="0" applyAlignment="1" applyFont="1" applyNumberFormat="1">
      <alignment horizontal="center" readingOrder="0" vertical="center"/>
    </xf>
    <xf borderId="0" fillId="0" fontId="4" numFmtId="4" xfId="0" applyAlignment="1" applyFont="1" applyNumberFormat="1">
      <alignment horizontal="center" readingOrder="0" vertical="bottom"/>
    </xf>
    <xf borderId="1" fillId="28" fontId="20" numFmtId="0" xfId="0" applyAlignment="1" applyBorder="1" applyFill="1" applyFont="1">
      <alignment horizontal="center" readingOrder="0"/>
    </xf>
    <xf borderId="1" fillId="28" fontId="4" numFmtId="4" xfId="0" applyAlignment="1" applyBorder="1" applyFill="1" applyFont="1" applyNumberFormat="1">
      <alignment horizontal="right" readingOrder="0"/>
    </xf>
    <xf borderId="1" fillId="28" fontId="20" numFmtId="0" xfId="0" applyAlignment="1" applyBorder="1" applyFill="1" applyFont="1">
      <alignment readingOrder="0"/>
    </xf>
    <xf borderId="0" fillId="0" fontId="4" numFmtId="168" xfId="0" applyAlignment="1" applyFont="1" applyNumberFormat="1">
      <alignment horizontal="center" readingOrder="0" vertical="bottom"/>
    </xf>
    <xf borderId="5" fillId="19" fontId="4" numFmtId="0" xfId="0" applyAlignment="1" applyBorder="1" applyFill="1" applyFont="1">
      <alignment horizontal="center" readingOrder="0"/>
    </xf>
    <xf borderId="15" fillId="2" fontId="20" numFmtId="0" xfId="0" applyAlignment="1" applyBorder="1" applyFill="1" applyFont="1">
      <alignment readingOrder="0"/>
    </xf>
    <xf borderId="1" fillId="27" fontId="20" numFmtId="0" xfId="0" applyAlignment="1" applyBorder="1" applyFill="1" applyFont="1">
      <alignment horizontal="center" vertical="center"/>
    </xf>
    <xf borderId="5" fillId="27" fontId="4" numFmtId="168" xfId="0" applyAlignment="1" applyBorder="1" applyFill="1" applyFont="1" applyNumberFormat="1">
      <alignment horizontal="center" readingOrder="0" vertical="bottom"/>
    </xf>
    <xf borderId="1" fillId="29" fontId="20" numFmtId="4" xfId="0" applyAlignment="1" applyBorder="1" applyFill="1" applyFont="1" applyNumberFormat="1">
      <alignment horizontal="right" readingOrder="0" vertical="center"/>
    </xf>
    <xf borderId="15" fillId="0" fontId="20" numFmtId="0" xfId="0" applyAlignment="1" applyBorder="1" applyFont="1">
      <alignment horizontal="center" vertical="center"/>
    </xf>
    <xf borderId="5" fillId="0" fontId="20" numFmtId="0" xfId="0" applyAlignment="1" applyBorder="1" applyFont="1">
      <alignment horizontal="center" readingOrder="0" vertical="center"/>
    </xf>
    <xf borderId="1" fillId="0" fontId="4" numFmtId="168" xfId="0" applyAlignment="1" applyBorder="1" applyFont="1" applyNumberFormat="1">
      <alignment horizontal="center" readingOrder="0" vertical="bottom"/>
    </xf>
    <xf borderId="8" fillId="0" fontId="4" numFmtId="168" xfId="0" applyAlignment="1" applyBorder="1" applyFont="1" applyNumberFormat="1">
      <alignment horizontal="center" readingOrder="0"/>
    </xf>
    <xf borderId="1" fillId="29" fontId="4" numFmtId="4" xfId="0" applyAlignment="1" applyBorder="1" applyFill="1" applyFont="1" applyNumberFormat="1">
      <alignment horizontal="right" readingOrder="0"/>
    </xf>
    <xf borderId="1" fillId="0" fontId="22" numFmtId="0" xfId="0" applyAlignment="1" applyBorder="1" applyFont="1">
      <alignment horizontal="left" readingOrder="0" vertical="center"/>
    </xf>
    <xf borderId="3" fillId="0" fontId="4" numFmtId="168" xfId="0" applyAlignment="1" applyBorder="1" applyFont="1" applyNumberFormat="1">
      <alignment horizontal="center"/>
    </xf>
    <xf borderId="1" fillId="17" fontId="4" numFmtId="0" xfId="0" applyBorder="1" applyFill="1" applyFont="1"/>
    <xf borderId="1" fillId="17" fontId="4" numFmtId="168" xfId="0" applyAlignment="1" applyBorder="1" applyFill="1" applyFont="1" applyNumberFormat="1">
      <alignment horizontal="center"/>
    </xf>
    <xf borderId="1" fillId="17" fontId="4" numFmtId="0" xfId="0" applyAlignment="1" applyBorder="1" applyFill="1" applyFont="1">
      <alignment horizontal="center" readingOrder="0"/>
    </xf>
    <xf borderId="1" fillId="17" fontId="4" numFmtId="4" xfId="0" applyAlignment="1" applyBorder="1" applyFill="1" applyFont="1" applyNumberFormat="1">
      <alignment horizontal="center"/>
    </xf>
    <xf borderId="1" fillId="17" fontId="4" numFmtId="4" xfId="0" applyAlignment="1" applyBorder="1" applyFill="1" applyFont="1" applyNumberFormat="1">
      <alignment horizontal="right" readingOrder="0"/>
    </xf>
    <xf borderId="0" fillId="17" fontId="4" numFmtId="4" xfId="0" applyFill="1" applyFont="1" applyNumberFormat="1"/>
    <xf borderId="1" fillId="17" fontId="4" numFmtId="0" xfId="0" applyAlignment="1" applyBorder="1" applyFill="1" applyFont="1">
      <alignment vertical="bottom"/>
    </xf>
    <xf borderId="0" fillId="17" fontId="4" numFmtId="0" xfId="0" applyAlignment="1" applyFill="1" applyFont="1">
      <alignment vertical="bottom"/>
    </xf>
    <xf borderId="1" fillId="6" fontId="20" numFmtId="0" xfId="0" applyAlignment="1" applyBorder="1" applyFill="1" applyFont="1">
      <alignment horizontal="center" vertical="center"/>
    </xf>
    <xf borderId="15" fillId="0" fontId="4" numFmtId="0" xfId="0" applyBorder="1" applyFont="1"/>
    <xf borderId="1" fillId="6" fontId="4" numFmtId="168" xfId="0" applyAlignment="1" applyBorder="1" applyFill="1" applyFont="1" applyNumberFormat="1">
      <alignment horizontal="center" readingOrder="0"/>
    </xf>
    <xf borderId="1" fillId="0" fontId="4" numFmtId="168" xfId="0" applyAlignment="1" applyBorder="1" applyFont="1" applyNumberFormat="1">
      <alignment horizontal="center"/>
    </xf>
    <xf borderId="1" fillId="6" fontId="20" numFmtId="4" xfId="0" applyAlignment="1" applyBorder="1" applyFill="1" applyFont="1" applyNumberFormat="1">
      <alignment horizontal="right" readingOrder="0" vertical="center"/>
    </xf>
    <xf borderId="5" fillId="0" fontId="4" numFmtId="0" xfId="0" applyAlignment="1" applyBorder="1" applyFont="1">
      <alignment horizontal="center" readingOrder="0"/>
    </xf>
    <xf borderId="1" fillId="10" fontId="4" numFmtId="4" xfId="0" applyAlignment="1" applyBorder="1" applyFill="1" applyFont="1" applyNumberFormat="1">
      <alignment horizontal="right"/>
    </xf>
    <xf borderId="0" fillId="0" fontId="20" numFmtId="0" xfId="0" applyAlignment="1" applyFont="1">
      <alignment horizontal="center" vertical="center"/>
    </xf>
    <xf borderId="0" fillId="0" fontId="20" numFmtId="4" xfId="0" applyAlignment="1" applyFont="1" applyNumberFormat="1">
      <alignment horizontal="center" readingOrder="0" vertical="center"/>
    </xf>
    <xf borderId="0" fillId="6" fontId="20" numFmtId="4" xfId="0" applyAlignment="1" applyFill="1" applyFont="1" applyNumberFormat="1">
      <alignment horizontal="right" readingOrder="0" vertical="center"/>
    </xf>
    <xf borderId="4" fillId="0" fontId="4" numFmtId="168" xfId="0" applyAlignment="1" applyBorder="1" applyFont="1" applyNumberFormat="1">
      <alignment horizontal="center" readingOrder="0"/>
    </xf>
    <xf borderId="4" fillId="10" fontId="4" numFmtId="0" xfId="0" applyAlignment="1" applyBorder="1" applyFill="1" applyFont="1">
      <alignment horizontal="center" readingOrder="0"/>
    </xf>
    <xf borderId="20" fillId="10" fontId="4" numFmtId="4" xfId="0" applyAlignment="1" applyBorder="1" applyFill="1" applyFont="1" applyNumberFormat="1">
      <alignment horizontal="right"/>
    </xf>
    <xf borderId="1" fillId="0" fontId="20" numFmtId="168" xfId="0" applyAlignment="1" applyBorder="1" applyFont="1" applyNumberFormat="1">
      <alignment horizontal="center" readingOrder="0" vertical="center"/>
    </xf>
    <xf borderId="1" fillId="6" fontId="4" numFmtId="4" xfId="0" applyAlignment="1" applyBorder="1" applyFill="1" applyFont="1" applyNumberFormat="1">
      <alignment horizontal="right" readingOrder="0"/>
    </xf>
    <xf borderId="15" fillId="0" fontId="20" numFmtId="0" xfId="0" applyAlignment="1" applyBorder="1" applyFont="1">
      <alignment horizontal="center" readingOrder="0"/>
    </xf>
    <xf borderId="5" fillId="29" fontId="4" numFmtId="4" xfId="0" applyAlignment="1" applyBorder="1" applyFill="1" applyFont="1" applyNumberFormat="1">
      <alignment horizontal="right" readingOrder="0"/>
    </xf>
    <xf borderId="20" fillId="0" fontId="4" numFmtId="0" xfId="0" applyAlignment="1" applyBorder="1" applyFont="1">
      <alignment horizontal="center" readingOrder="0" vertical="bottom"/>
    </xf>
    <xf borderId="1" fillId="30" fontId="20" numFmtId="0" xfId="0" applyAlignment="1" applyBorder="1" applyFill="1" applyFont="1">
      <alignment horizontal="center" vertical="center"/>
    </xf>
    <xf borderId="1" fillId="30" fontId="20" numFmtId="168" xfId="0" applyAlignment="1" applyBorder="1" applyFill="1" applyFont="1" applyNumberFormat="1">
      <alignment horizontal="center" readingOrder="0" vertical="center"/>
    </xf>
    <xf borderId="3" fillId="0" fontId="3" numFmtId="169" xfId="0" applyAlignment="1" applyBorder="1" applyFont="1" applyNumberFormat="1">
      <alignment horizontal="center" vertical="center"/>
    </xf>
    <xf borderId="1" fillId="30" fontId="20" numFmtId="4" xfId="0" applyAlignment="1" applyBorder="1" applyFill="1" applyFont="1" applyNumberFormat="1">
      <alignment horizontal="right" readingOrder="0" vertical="center"/>
    </xf>
    <xf borderId="1" fillId="10" fontId="4" numFmtId="4" xfId="0" applyAlignment="1" applyBorder="1" applyFill="1" applyFont="1" applyNumberFormat="1">
      <alignment horizontal="right" readingOrder="0"/>
    </xf>
    <xf borderId="5" fillId="0" fontId="3" numFmtId="4" xfId="0" applyAlignment="1" applyBorder="1" applyFont="1" applyNumberFormat="1">
      <alignment horizontal="center" vertical="center"/>
    </xf>
    <xf borderId="1" fillId="24" fontId="20" numFmtId="0" xfId="0" applyAlignment="1" applyBorder="1" applyFill="1" applyFont="1">
      <alignment horizontal="center" readingOrder="0" vertical="center"/>
    </xf>
    <xf borderId="1" fillId="9" fontId="3" numFmtId="0" xfId="0" applyAlignment="1" applyBorder="1" applyFill="1" applyFont="1">
      <alignment horizontal="center" readingOrder="0" vertical="center"/>
    </xf>
    <xf borderId="1" fillId="6" fontId="4" numFmtId="0" xfId="0" applyBorder="1" applyFill="1" applyFont="1"/>
    <xf borderId="5" fillId="6" fontId="4" numFmtId="168" xfId="0" applyAlignment="1" applyBorder="1" applyFill="1" applyFont="1" applyNumberFormat="1">
      <alignment horizontal="center" readingOrder="0" vertical="bottom"/>
    </xf>
    <xf borderId="5" fillId="6" fontId="4" numFmtId="4" xfId="0" applyAlignment="1" applyBorder="1" applyFill="1" applyFont="1" applyNumberFormat="1">
      <alignment horizontal="right" readingOrder="0"/>
    </xf>
    <xf borderId="1" fillId="20" fontId="20" numFmtId="168" xfId="0" applyAlignment="1" applyBorder="1" applyFill="1" applyFont="1" applyNumberFormat="1">
      <alignment horizontal="center" readingOrder="0" vertical="center"/>
    </xf>
    <xf borderId="1" fillId="20" fontId="20" numFmtId="0" xfId="0" applyAlignment="1" applyBorder="1" applyFill="1" applyFont="1">
      <alignment horizontal="center" readingOrder="0" vertical="center"/>
    </xf>
    <xf borderId="1" fillId="5" fontId="19" numFmtId="0" xfId="0" applyAlignment="1" applyBorder="1" applyFill="1" applyFont="1">
      <alignment horizontal="center" readingOrder="0" shrinkToFit="0" vertical="center" wrapText="1"/>
    </xf>
    <xf borderId="1" fillId="9" fontId="3" numFmtId="169" xfId="0" applyAlignment="1" applyBorder="1" applyFill="1" applyFont="1" applyNumberFormat="1">
      <alignment horizontal="center" vertical="center"/>
    </xf>
    <xf borderId="1" fillId="31" fontId="20" numFmtId="0" xfId="0" applyBorder="1" applyFill="1" applyFont="1"/>
    <xf borderId="1" fillId="31" fontId="4" numFmtId="168" xfId="0" applyAlignment="1" applyBorder="1" applyFill="1" applyFont="1" applyNumberFormat="1">
      <alignment horizontal="center" readingOrder="0"/>
    </xf>
    <xf borderId="1" fillId="14" fontId="20" numFmtId="0" xfId="0" applyAlignment="1" applyBorder="1" applyFill="1" applyFont="1">
      <alignment horizontal="center" readingOrder="0"/>
    </xf>
    <xf borderId="8" fillId="6" fontId="3" numFmtId="169" xfId="0" applyAlignment="1" applyBorder="1" applyFill="1" applyFont="1" applyNumberFormat="1">
      <alignment horizontal="center" vertical="center"/>
    </xf>
    <xf borderId="1" fillId="31" fontId="20" numFmtId="4" xfId="0" applyAlignment="1" applyBorder="1" applyFill="1" applyFont="1" applyNumberFormat="1">
      <alignment horizontal="right" readingOrder="0" vertical="center"/>
    </xf>
    <xf borderId="1" fillId="31" fontId="4" numFmtId="4" xfId="0" applyAlignment="1" applyBorder="1" applyFill="1" applyFont="1" applyNumberFormat="1">
      <alignment horizontal="right" readingOrder="0"/>
    </xf>
    <xf borderId="10" fillId="0" fontId="3" numFmtId="169" xfId="0" applyAlignment="1" applyBorder="1" applyFont="1" applyNumberFormat="1">
      <alignment horizontal="center" vertical="center"/>
    </xf>
    <xf borderId="1" fillId="6" fontId="3" numFmtId="169" xfId="0" applyAlignment="1" applyBorder="1" applyFill="1" applyFont="1" applyNumberFormat="1">
      <alignment horizontal="center" readingOrder="0" vertical="center"/>
    </xf>
    <xf borderId="1" fillId="6" fontId="3" numFmtId="169" xfId="0" applyAlignment="1" applyBorder="1" applyFill="1" applyFont="1" applyNumberFormat="1">
      <alignment horizontal="center" vertical="center"/>
    </xf>
    <xf borderId="1" fillId="6" fontId="4" numFmtId="4" xfId="0" applyAlignment="1" applyBorder="1" applyFill="1" applyFont="1" applyNumberFormat="1">
      <alignment horizontal="right" readingOrder="0" vertical="bottom"/>
    </xf>
    <xf borderId="1" fillId="0" fontId="3" numFmtId="0" xfId="0" applyAlignment="1" applyBorder="1" applyFont="1">
      <alignment readingOrder="0"/>
    </xf>
    <xf borderId="1" fillId="16" fontId="20" numFmtId="4" xfId="0" applyAlignment="1" applyBorder="1" applyFill="1" applyFont="1" applyNumberFormat="1">
      <alignment horizontal="right" readingOrder="0" vertical="center"/>
    </xf>
    <xf borderId="11" fillId="0" fontId="3" numFmtId="169" xfId="0" applyAlignment="1" applyBorder="1" applyFont="1" applyNumberFormat="1">
      <alignment horizontal="center" vertical="center"/>
    </xf>
    <xf borderId="1" fillId="2" fontId="3" numFmtId="0" xfId="0" applyAlignment="1" applyBorder="1" applyFill="1" applyFont="1">
      <alignment horizontal="left" readingOrder="0" vertical="center"/>
    </xf>
    <xf borderId="1" fillId="5" fontId="20" numFmtId="4" xfId="0" applyAlignment="1" applyBorder="1" applyFill="1" applyFont="1" applyNumberFormat="1">
      <alignment horizontal="right" readingOrder="0" vertical="center"/>
    </xf>
    <xf borderId="0" fillId="16" fontId="20" numFmtId="0" xfId="0" applyAlignment="1" applyFill="1" applyFont="1">
      <alignment horizontal="center" readingOrder="0" vertical="center"/>
    </xf>
    <xf borderId="0" fillId="16" fontId="20" numFmtId="4" xfId="0" applyAlignment="1" applyFill="1" applyFont="1" applyNumberFormat="1">
      <alignment horizontal="right" readingOrder="0" vertical="center"/>
    </xf>
    <xf borderId="0" fillId="20" fontId="20" numFmtId="0" xfId="0" applyAlignment="1" applyFill="1" applyFont="1">
      <alignment readingOrder="0"/>
    </xf>
    <xf borderId="5" fillId="6" fontId="4" numFmtId="4" xfId="0" applyAlignment="1" applyBorder="1" applyFill="1" applyFont="1" applyNumberFormat="1">
      <alignment horizontal="right"/>
    </xf>
    <xf borderId="20" fillId="0" fontId="4" numFmtId="0" xfId="0" applyAlignment="1" applyBorder="1" applyFont="1">
      <alignment vertical="bottom"/>
    </xf>
    <xf borderId="21" fillId="0" fontId="4" numFmtId="0" xfId="0" applyAlignment="1" applyBorder="1" applyFont="1">
      <alignment vertical="bottom"/>
    </xf>
    <xf borderId="15" fillId="0" fontId="20" numFmtId="0" xfId="0" applyAlignment="1" applyBorder="1" applyFont="1">
      <alignment horizontal="center"/>
    </xf>
    <xf borderId="1" fillId="32" fontId="20" numFmtId="4" xfId="0" applyAlignment="1" applyBorder="1" applyFill="1" applyFont="1" applyNumberFormat="1">
      <alignment horizontal="right" readingOrder="0" vertical="center"/>
    </xf>
    <xf borderId="0" fillId="0" fontId="4" numFmtId="168" xfId="0" applyAlignment="1" applyFont="1" applyNumberFormat="1">
      <alignment horizontal="center" readingOrder="0"/>
    </xf>
    <xf borderId="1" fillId="32" fontId="4" numFmtId="4" xfId="0" applyAlignment="1" applyBorder="1" applyFill="1" applyFont="1" applyNumberFormat="1">
      <alignment horizontal="right" readingOrder="0"/>
    </xf>
    <xf borderId="1" fillId="33" fontId="20" numFmtId="0" xfId="0" applyAlignment="1" applyBorder="1" applyFill="1" applyFont="1">
      <alignment horizontal="center" vertical="center"/>
    </xf>
    <xf borderId="5" fillId="33" fontId="4" numFmtId="168" xfId="0" applyAlignment="1" applyBorder="1" applyFill="1" applyFont="1" applyNumberFormat="1">
      <alignment horizontal="center" readingOrder="0" vertical="bottom"/>
    </xf>
    <xf borderId="1" fillId="33" fontId="20" numFmtId="4" xfId="0" applyAlignment="1" applyBorder="1" applyFill="1" applyFont="1" applyNumberFormat="1">
      <alignment horizontal="right" readingOrder="0" vertical="center"/>
    </xf>
    <xf borderId="1" fillId="20" fontId="20" numFmtId="0" xfId="0" applyAlignment="1" applyBorder="1" applyFill="1" applyFont="1">
      <alignment readingOrder="0"/>
    </xf>
    <xf borderId="1" fillId="17" fontId="4" numFmtId="168" xfId="0" applyAlignment="1" applyBorder="1" applyFill="1" applyFont="1" applyNumberFormat="1">
      <alignment horizontal="center" readingOrder="0"/>
    </xf>
    <xf borderId="1" fillId="0" fontId="4" numFmtId="168" xfId="0" applyAlignment="1" applyBorder="1" applyFont="1" applyNumberFormat="1">
      <alignment horizontal="center" readingOrder="0" vertical="bottom"/>
    </xf>
    <xf borderId="1" fillId="19" fontId="4" numFmtId="0" xfId="0" applyAlignment="1" applyBorder="1" applyFill="1" applyFont="1">
      <alignment horizontal="center" readingOrder="0" vertical="bottom"/>
    </xf>
    <xf borderId="1" fillId="0" fontId="4" numFmtId="4" xfId="0" applyAlignment="1" applyBorder="1" applyFont="1" applyNumberFormat="1">
      <alignment horizontal="center" readingOrder="0" vertical="bottom"/>
    </xf>
    <xf borderId="1" fillId="33" fontId="4" numFmtId="4" xfId="0" applyAlignment="1" applyBorder="1" applyFill="1" applyFont="1" applyNumberFormat="1">
      <alignment horizontal="right" readingOrder="0" vertical="bottom"/>
    </xf>
    <xf borderId="1" fillId="34" fontId="20" numFmtId="4" xfId="0" applyAlignment="1" applyBorder="1" applyFill="1" applyFont="1" applyNumberFormat="1">
      <alignment horizontal="right" readingOrder="0" vertical="center"/>
    </xf>
    <xf borderId="15" fillId="2" fontId="4" numFmtId="0" xfId="0" applyAlignment="1" applyBorder="1" applyFill="1" applyFont="1">
      <alignment horizontal="left" readingOrder="0" vertical="bottom"/>
    </xf>
    <xf borderId="5" fillId="33" fontId="4" numFmtId="4" xfId="0" applyAlignment="1" applyBorder="1" applyFill="1" applyFont="1" applyNumberFormat="1">
      <alignment horizontal="right"/>
    </xf>
    <xf borderId="1" fillId="2" fontId="20" numFmtId="3" xfId="0" applyAlignment="1" applyBorder="1" applyFill="1" applyFont="1" applyNumberFormat="1">
      <alignment readingOrder="0"/>
    </xf>
    <xf borderId="1" fillId="35" fontId="20" numFmtId="0" xfId="0" applyAlignment="1" applyBorder="1" applyFill="1" applyFont="1">
      <alignment horizontal="center" vertical="center"/>
    </xf>
    <xf borderId="1" fillId="35" fontId="4" numFmtId="168" xfId="0" applyAlignment="1" applyBorder="1" applyFill="1" applyFont="1" applyNumberFormat="1">
      <alignment horizontal="center" readingOrder="0" vertical="bottom"/>
    </xf>
    <xf borderId="1" fillId="35" fontId="20" numFmtId="4" xfId="0" applyAlignment="1" applyBorder="1" applyFill="1" applyFont="1" applyNumberFormat="1">
      <alignment horizontal="right" readingOrder="0" vertical="center"/>
    </xf>
    <xf borderId="5" fillId="35" fontId="4" numFmtId="4" xfId="0" applyAlignment="1" applyBorder="1" applyFill="1" applyFont="1" applyNumberFormat="1">
      <alignment horizontal="right"/>
    </xf>
    <xf borderId="20" fillId="0" fontId="4" numFmtId="4" xfId="0" applyBorder="1" applyFont="1" applyNumberFormat="1"/>
    <xf borderId="1" fillId="0" fontId="4" numFmtId="0" xfId="0" applyAlignment="1" applyBorder="1" applyFont="1">
      <alignment vertical="bottom"/>
    </xf>
    <xf borderId="1" fillId="2" fontId="4" numFmtId="0" xfId="0" applyAlignment="1" applyBorder="1" applyFill="1" applyFont="1">
      <alignment horizontal="left" readingOrder="0" vertical="bottom"/>
    </xf>
    <xf borderId="1" fillId="0" fontId="4" numFmtId="0" xfId="0" applyAlignment="1" applyBorder="1" applyFont="1">
      <alignment horizontal="left" readingOrder="0" vertical="bottom"/>
    </xf>
    <xf borderId="1" fillId="18" fontId="20" numFmtId="4" xfId="0" applyAlignment="1" applyBorder="1" applyFill="1" applyFont="1" applyNumberFormat="1">
      <alignment horizontal="right" readingOrder="0" vertical="center"/>
    </xf>
    <xf borderId="1" fillId="26" fontId="19" numFmtId="0" xfId="0" applyAlignment="1" applyBorder="1" applyFill="1" applyFont="1">
      <alignment horizontal="center" readingOrder="0" shrinkToFit="0" vertical="center" wrapText="1"/>
    </xf>
    <xf borderId="1" fillId="9" fontId="20" numFmtId="0" xfId="0" applyAlignment="1" applyBorder="1" applyFill="1" applyFont="1">
      <alignment horizontal="center" vertical="center"/>
    </xf>
    <xf borderId="1" fillId="9" fontId="20" numFmtId="170" xfId="0" applyAlignment="1" applyBorder="1" applyFill="1" applyFont="1" applyNumberFormat="1">
      <alignment horizontal="center" vertical="center"/>
    </xf>
    <xf borderId="1" fillId="20" fontId="20" numFmtId="170" xfId="0" applyAlignment="1" applyBorder="1" applyFill="1" applyFont="1" applyNumberFormat="1">
      <alignment horizontal="center" vertical="center"/>
    </xf>
    <xf borderId="15" fillId="0" fontId="4" numFmtId="0" xfId="0" applyBorder="1" applyFont="1"/>
    <xf borderId="9" fillId="0" fontId="4" numFmtId="4" xfId="0" applyBorder="1" applyFont="1" applyNumberFormat="1"/>
    <xf borderId="9" fillId="34" fontId="4" numFmtId="4" xfId="0" applyAlignment="1" applyBorder="1" applyFill="1" applyFont="1" applyNumberFormat="1">
      <alignment horizontal="right"/>
    </xf>
    <xf borderId="13" fillId="0" fontId="4" numFmtId="4" xfId="0" applyBorder="1" applyFont="1" applyNumberFormat="1"/>
    <xf borderId="1" fillId="9" fontId="20" numFmtId="0" xfId="0" applyBorder="1" applyFill="1" applyFont="1"/>
    <xf borderId="1" fillId="9" fontId="20" numFmtId="170" xfId="0" applyBorder="1" applyFill="1" applyFont="1" applyNumberFormat="1"/>
    <xf borderId="1" fillId="0" fontId="20" numFmtId="4" xfId="0" applyBorder="1" applyFont="1" applyNumberFormat="1"/>
    <xf borderId="1" fillId="20" fontId="20" numFmtId="170" xfId="0" applyBorder="1" applyFill="1" applyFont="1" applyNumberFormat="1"/>
    <xf borderId="0" fillId="0" fontId="20" numFmtId="0" xfId="0" applyFont="1"/>
    <xf borderId="0" fillId="0" fontId="20" numFmtId="0" xfId="0" applyFont="1"/>
    <xf borderId="0" fillId="0" fontId="20" numFmtId="4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20" numFmtId="3" xfId="0" applyAlignment="1" applyFont="1" applyNumberFormat="1">
      <alignment readingOrder="0"/>
    </xf>
    <xf borderId="15" fillId="5" fontId="15" numFmtId="0" xfId="0" applyAlignment="1" applyBorder="1" applyFill="1" applyFont="1">
      <alignment horizontal="center" readingOrder="0"/>
    </xf>
    <xf borderId="21" fillId="2" fontId="20" numFmtId="0" xfId="0" applyAlignment="1" applyBorder="1" applyFill="1" applyFont="1">
      <alignment readingOrder="0"/>
    </xf>
    <xf borderId="0" fillId="12" fontId="20" numFmtId="0" xfId="0" applyAlignment="1" applyFill="1" applyFont="1">
      <alignment readingOrder="0"/>
    </xf>
    <xf borderId="0" fillId="2" fontId="20" numFmtId="4" xfId="0" applyFill="1" applyFont="1" applyNumberFormat="1"/>
    <xf borderId="12" fillId="0" fontId="20" numFmtId="0" xfId="0" applyBorder="1" applyFont="1"/>
    <xf borderId="1" fillId="2" fontId="15" numFmtId="0" xfId="0" applyAlignment="1" applyBorder="1" applyFill="1" applyFont="1">
      <alignment horizontal="center" readingOrder="0"/>
    </xf>
    <xf borderId="1" fillId="2" fontId="20" numFmtId="0" xfId="0" applyAlignment="1" applyBorder="1" applyFill="1" applyFont="1">
      <alignment horizontal="left" readingOrder="0"/>
    </xf>
    <xf borderId="21" fillId="20" fontId="20" numFmtId="0" xfId="0" applyAlignment="1" applyBorder="1" applyFill="1" applyFont="1">
      <alignment readingOrder="0"/>
    </xf>
    <xf borderId="0" fillId="20" fontId="20" numFmtId="4" xfId="0" applyAlignment="1" applyFill="1" applyFont="1" applyNumberFormat="1">
      <alignment readingOrder="0"/>
    </xf>
    <xf borderId="0" fillId="0" fontId="20" numFmtId="2" xfId="0" applyAlignment="1" applyFont="1" applyNumberFormat="1">
      <alignment horizontal="center" readingOrder="0"/>
    </xf>
    <xf borderId="1" fillId="31" fontId="20" numFmtId="0" xfId="0" applyAlignment="1" applyBorder="1" applyFill="1" applyFont="1">
      <alignment horizontal="center" readingOrder="0" vertical="center"/>
    </xf>
    <xf borderId="21" fillId="9" fontId="20" numFmtId="0" xfId="0" applyAlignment="1" applyBorder="1" applyFill="1" applyFont="1">
      <alignment readingOrder="0"/>
    </xf>
    <xf borderId="0" fillId="9" fontId="20" numFmtId="4" xfId="0" applyAlignment="1" applyFill="1" applyFont="1" applyNumberFormat="1">
      <alignment readingOrder="0"/>
    </xf>
    <xf borderId="1" fillId="12" fontId="20" numFmtId="4" xfId="0" applyBorder="1" applyFill="1" applyFont="1" applyNumberFormat="1"/>
    <xf borderId="21" fillId="10" fontId="20" numFmtId="0" xfId="0" applyAlignment="1" applyBorder="1" applyFill="1" applyFont="1">
      <alignment readingOrder="0"/>
    </xf>
    <xf borderId="0" fillId="10" fontId="20" numFmtId="4" xfId="0" applyFill="1" applyFont="1" applyNumberFormat="1"/>
    <xf borderId="12" fillId="5" fontId="20" numFmtId="0" xfId="0" applyAlignment="1" applyBorder="1" applyFill="1" applyFont="1">
      <alignment readingOrder="0"/>
    </xf>
    <xf borderId="0" fillId="14" fontId="20" numFmtId="4" xfId="0" applyAlignment="1" applyFill="1" applyFont="1" applyNumberFormat="1">
      <alignment readingOrder="0"/>
    </xf>
    <xf borderId="1" fillId="12" fontId="20" numFmtId="4" xfId="0" applyAlignment="1" applyBorder="1" applyFill="1" applyFont="1" applyNumberFormat="1">
      <alignment horizontal="right" readingOrder="0"/>
    </xf>
    <xf borderId="1" fillId="12" fontId="20" numFmtId="4" xfId="0" applyAlignment="1" applyBorder="1" applyFill="1" applyFont="1" applyNumberFormat="1">
      <alignment horizontal="right"/>
    </xf>
    <xf borderId="0" fillId="0" fontId="20" numFmtId="9" xfId="0" applyAlignment="1" applyFont="1" applyNumberFormat="1">
      <alignment readingOrder="0"/>
    </xf>
    <xf borderId="8" fillId="0" fontId="20" numFmtId="170" xfId="0" applyAlignment="1" applyBorder="1" applyFont="1" applyNumberFormat="1">
      <alignment horizontal="center" vertical="center"/>
    </xf>
    <xf borderId="1" fillId="5" fontId="20" numFmtId="4" xfId="0" applyAlignment="1" applyBorder="1" applyFill="1" applyFont="1" applyNumberFormat="1">
      <alignment horizontal="right" readingOrder="0"/>
    </xf>
    <xf borderId="21" fillId="12" fontId="20" numFmtId="0" xfId="0" applyAlignment="1" applyBorder="1" applyFill="1" applyFont="1">
      <alignment readingOrder="0"/>
    </xf>
    <xf borderId="0" fillId="12" fontId="20" numFmtId="4" xfId="0" applyFill="1" applyFont="1" applyNumberFormat="1"/>
    <xf borderId="14" fillId="12" fontId="20" numFmtId="0" xfId="0" applyAlignment="1" applyBorder="1" applyFill="1" applyFont="1">
      <alignment readingOrder="0"/>
    </xf>
    <xf borderId="13" fillId="0" fontId="20" numFmtId="0" xfId="0" applyBorder="1" applyFont="1"/>
    <xf borderId="1" fillId="36" fontId="20" numFmtId="0" xfId="0" applyAlignment="1" applyBorder="1" applyFill="1" applyFont="1">
      <alignment horizontal="center" readingOrder="0" vertical="center"/>
    </xf>
    <xf borderId="13" fillId="12" fontId="20" numFmtId="4" xfId="0" applyBorder="1" applyFill="1" applyFont="1" applyNumberFormat="1"/>
    <xf borderId="9" fillId="0" fontId="20" numFmtId="0" xfId="0" applyBorder="1" applyFont="1"/>
    <xf borderId="1" fillId="0" fontId="15" numFmtId="4" xfId="0" applyAlignment="1" applyBorder="1" applyFont="1" applyNumberFormat="1">
      <alignment horizontal="center" readingOrder="0"/>
    </xf>
    <xf borderId="1" fillId="0" fontId="20" numFmtId="4" xfId="0" applyAlignment="1" applyBorder="1" applyFont="1" applyNumberFormat="1">
      <alignment horizontal="right"/>
    </xf>
    <xf borderId="0" fillId="0" fontId="15" numFmtId="0" xfId="0" applyAlignment="1" applyFont="1">
      <alignment horizontal="center" readingOrder="0"/>
    </xf>
    <xf borderId="0" fillId="0" fontId="20" numFmtId="174" xfId="0" applyFont="1" applyNumberFormat="1"/>
    <xf borderId="1" fillId="20" fontId="20" numFmtId="4" xfId="0" applyAlignment="1" applyBorder="1" applyFill="1" applyFont="1" applyNumberFormat="1">
      <alignment horizontal="right"/>
    </xf>
    <xf borderId="0" fillId="0" fontId="20" numFmtId="174" xfId="0" applyAlignment="1" applyFont="1" applyNumberFormat="1">
      <alignment readingOrder="0"/>
    </xf>
    <xf borderId="0" fillId="0" fontId="20" numFmtId="4" xfId="0" applyAlignment="1" applyFont="1" applyNumberFormat="1">
      <alignment horizontal="center" readingOrder="0"/>
    </xf>
    <xf borderId="0" fillId="0" fontId="20" numFmtId="4" xfId="0" applyAlignment="1" applyFont="1" applyNumberFormat="1">
      <alignment horizontal="right"/>
    </xf>
    <xf borderId="0" fillId="5" fontId="20" numFmtId="4" xfId="0" applyFill="1" applyFont="1" applyNumberFormat="1"/>
    <xf borderId="0" fillId="9" fontId="20" numFmtId="4" xfId="0" applyFill="1" applyFont="1" applyNumberFormat="1"/>
    <xf borderId="1" fillId="9" fontId="20" numFmtId="4" xfId="0" applyAlignment="1" applyBorder="1" applyFill="1" applyFont="1" applyNumberFormat="1">
      <alignment horizontal="right"/>
    </xf>
    <xf borderId="0" fillId="9" fontId="20" numFmtId="4" xfId="0" applyAlignment="1" applyFill="1" applyFont="1" applyNumberFormat="1">
      <alignment horizontal="right"/>
    </xf>
    <xf borderId="0" fillId="2" fontId="20" numFmtId="4" xfId="0" applyAlignment="1" applyFill="1" applyFont="1" applyNumberFormat="1">
      <alignment horizontal="right"/>
    </xf>
    <xf borderId="15" fillId="5" fontId="15" numFmtId="0" xfId="0" applyAlignment="1" applyBorder="1" applyFill="1" applyFont="1">
      <alignment horizontal="center" readingOrder="0"/>
    </xf>
    <xf borderId="0" fillId="15" fontId="20" numFmtId="4" xfId="0" applyAlignment="1" applyFill="1" applyFont="1" applyNumberFormat="1">
      <alignment horizontal="right"/>
    </xf>
    <xf borderId="20" fillId="0" fontId="10" numFmtId="0" xfId="0" applyBorder="1" applyFont="1"/>
    <xf borderId="5" fillId="0" fontId="10" numFmtId="0" xfId="0" applyBorder="1" applyFont="1"/>
    <xf borderId="0" fillId="12" fontId="20" numFmtId="4" xfId="0" applyAlignment="1" applyFill="1" applyFont="1" applyNumberFormat="1">
      <alignment horizontal="right"/>
    </xf>
    <xf borderId="0" fillId="37" fontId="20" numFmtId="4" xfId="0" applyAlignment="1" applyFill="1" applyFont="1" applyNumberFormat="1">
      <alignment horizontal="right"/>
    </xf>
    <xf borderId="0" fillId="5" fontId="15" numFmtId="0" xfId="0" applyAlignment="1" applyFill="1" applyFont="1">
      <alignment horizontal="center" readingOrder="0"/>
    </xf>
    <xf borderId="0" fillId="9" fontId="20" numFmtId="0" xfId="0" applyAlignment="1" applyFill="1" applyFont="1">
      <alignment readingOrder="0"/>
    </xf>
    <xf borderId="0" fillId="13" fontId="20" numFmtId="4" xfId="0" applyAlignment="1" applyFill="1" applyFont="1" applyNumberFormat="1">
      <alignment horizontal="right"/>
    </xf>
    <xf borderId="1" fillId="0" fontId="20" numFmtId="4" xfId="0" applyAlignment="1" applyBorder="1" applyFont="1" applyNumberFormat="1">
      <alignment horizontal="right" readingOrder="0"/>
    </xf>
    <xf borderId="0" fillId="26" fontId="20" numFmtId="4" xfId="0" applyAlignment="1" applyFill="1" applyFont="1" applyNumberFormat="1">
      <alignment horizontal="right"/>
    </xf>
    <xf borderId="0" fillId="0" fontId="20" numFmtId="175" xfId="0" applyAlignment="1" applyFont="1" applyNumberFormat="1">
      <alignment horizontal="center" readingOrder="0"/>
    </xf>
    <xf borderId="0" fillId="2" fontId="20" numFmtId="4" xfId="0" applyAlignment="1" applyFill="1" applyFont="1" applyNumberFormat="1">
      <alignment readingOrder="0"/>
    </xf>
    <xf borderId="0" fillId="6" fontId="20" numFmtId="4" xfId="0" applyAlignment="1" applyFill="1" applyFont="1" applyNumberFormat="1">
      <alignment horizontal="right"/>
    </xf>
    <xf borderId="0" fillId="30" fontId="20" numFmtId="4" xfId="0" applyAlignment="1" applyFill="1" applyFont="1" applyNumberFormat="1">
      <alignment horizontal="right"/>
    </xf>
    <xf borderId="1" fillId="0" fontId="4" numFmtId="0" xfId="0" applyAlignment="1" applyBorder="1" applyFont="1">
      <alignment horizontal="center"/>
    </xf>
    <xf borderId="0" fillId="31" fontId="20" numFmtId="4" xfId="0" applyAlignment="1" applyFill="1" applyFont="1" applyNumberFormat="1">
      <alignment horizontal="right"/>
    </xf>
    <xf borderId="5" fillId="26" fontId="4" numFmtId="4" xfId="0" applyAlignment="1" applyBorder="1" applyFill="1" applyFont="1" applyNumberFormat="1">
      <alignment horizontal="right"/>
    </xf>
    <xf borderId="0" fillId="32" fontId="20" numFmtId="4" xfId="0" applyAlignment="1" applyFill="1" applyFont="1" applyNumberFormat="1">
      <alignment horizontal="right"/>
    </xf>
    <xf borderId="5" fillId="0" fontId="4" numFmtId="0" xfId="0" applyAlignment="1" applyBorder="1" applyFont="1">
      <alignment horizontal="center" vertical="bottom"/>
    </xf>
    <xf borderId="0" fillId="34" fontId="20" numFmtId="4" xfId="0" applyAlignment="1" applyFill="1" applyFont="1" applyNumberFormat="1">
      <alignment horizontal="right"/>
    </xf>
    <xf borderId="8" fillId="0" fontId="4" numFmtId="0" xfId="0" applyAlignment="1" applyBorder="1" applyFont="1">
      <alignment horizontal="center"/>
    </xf>
    <xf borderId="9" fillId="26" fontId="4" numFmtId="4" xfId="0" applyAlignment="1" applyBorder="1" applyFill="1" applyFont="1" applyNumberFormat="1">
      <alignment horizontal="right"/>
    </xf>
    <xf borderId="0" fillId="18" fontId="20" numFmtId="4" xfId="0" applyAlignment="1" applyFill="1" applyFont="1" applyNumberFormat="1">
      <alignment horizontal="right"/>
    </xf>
    <xf borderId="9" fillId="0" fontId="4" numFmtId="0" xfId="0" applyAlignment="1" applyBorder="1" applyFont="1">
      <alignment horizontal="center" vertical="bottom"/>
    </xf>
    <xf borderId="0" fillId="9" fontId="20" numFmtId="9" xfId="0" applyAlignment="1" applyFill="1" applyFont="1" applyNumberFormat="1">
      <alignment readingOrder="0"/>
    </xf>
    <xf borderId="0" fillId="20" fontId="20" numFmtId="4" xfId="0" applyFill="1" applyFont="1" applyNumberFormat="1"/>
    <xf borderId="0" fillId="6" fontId="20" numFmtId="0" xfId="0" applyAlignment="1" applyFill="1" applyFont="1">
      <alignment horizontal="center" readingOrder="0"/>
    </xf>
    <xf borderId="0" fillId="6" fontId="20" numFmtId="4" xfId="0" applyFill="1" applyFont="1" applyNumberFormat="1"/>
    <xf borderId="3" fillId="0" fontId="4" numFmtId="0" xfId="0" applyAlignment="1" applyBorder="1" applyFont="1">
      <alignment vertical="bottom"/>
    </xf>
    <xf borderId="0" fillId="0" fontId="20" numFmtId="4" xfId="0" applyAlignment="1" applyFont="1" applyNumberFormat="1">
      <alignment horizontal="left"/>
    </xf>
    <xf borderId="0" fillId="6" fontId="20" numFmtId="4" xfId="0" applyAlignment="1" applyFill="1" applyFont="1" applyNumberFormat="1">
      <alignment horizontal="center" readingOrder="0"/>
    </xf>
    <xf borderId="12" fillId="10" fontId="20" numFmtId="4" xfId="0" applyAlignment="1" applyBorder="1" applyFill="1" applyFont="1" applyNumberFormat="1">
      <alignment readingOrder="0"/>
    </xf>
    <xf borderId="0" fillId="14" fontId="20" numFmtId="4" xfId="0" applyFill="1" applyFont="1" applyNumberFormat="1"/>
    <xf borderId="12" fillId="14" fontId="20" numFmtId="4" xfId="0" applyBorder="1" applyFill="1" applyFont="1" applyNumberFormat="1"/>
    <xf borderId="0" fillId="0" fontId="20" numFmtId="4" xfId="0" applyAlignment="1" applyFont="1" applyNumberFormat="1">
      <alignment horizontal="center"/>
    </xf>
    <xf borderId="1" fillId="0" fontId="4" numFmtId="0" xfId="0" applyAlignment="1" applyBorder="1" applyFont="1">
      <alignment horizontal="center"/>
    </xf>
    <xf borderId="9" fillId="12" fontId="20" numFmtId="4" xfId="0" applyBorder="1" applyFill="1" applyFont="1" applyNumberFormat="1"/>
    <xf borderId="1" fillId="2" fontId="20" numFmtId="4" xfId="0" applyBorder="1" applyFill="1" applyFont="1" applyNumberFormat="1"/>
    <xf borderId="0" fillId="0" fontId="20" numFmtId="4" xfId="0" applyAlignment="1" applyFont="1" applyNumberFormat="1">
      <alignment horizontal="right" readingOrder="0"/>
    </xf>
    <xf borderId="1" fillId="9" fontId="20" numFmtId="4" xfId="0" applyBorder="1" applyFill="1" applyFont="1" applyNumberFormat="1"/>
    <xf borderId="1" fillId="9" fontId="20" numFmtId="9" xfId="0" applyAlignment="1" applyBorder="1" applyFill="1" applyFont="1" applyNumberFormat="1">
      <alignment readingOrder="0"/>
    </xf>
    <xf borderId="1" fillId="10" fontId="20" numFmtId="0" xfId="0" applyAlignment="1" applyBorder="1" applyFill="1" applyFont="1">
      <alignment readingOrder="0"/>
    </xf>
    <xf borderId="1" fillId="10" fontId="20" numFmtId="4" xfId="0" applyBorder="1" applyFill="1" applyFont="1" applyNumberFormat="1"/>
    <xf borderId="1" fillId="14" fontId="20" numFmtId="4" xfId="0" applyAlignment="1" applyBorder="1" applyFill="1" applyFont="1" applyNumberFormat="1">
      <alignment readingOrder="0"/>
    </xf>
    <xf borderId="1" fillId="12" fontId="20" numFmtId="0" xfId="0" applyAlignment="1" applyBorder="1" applyFill="1" applyFont="1">
      <alignment readingOrder="0"/>
    </xf>
    <xf borderId="15" fillId="38" fontId="15" numFmtId="0" xfId="0" applyAlignment="1" applyBorder="1" applyFill="1" applyFont="1">
      <alignment horizontal="center" readingOrder="0"/>
    </xf>
    <xf borderId="0" fillId="12" fontId="20" numFmtId="4" xfId="0" applyAlignment="1" applyFill="1" applyFont="1" applyNumberFormat="1">
      <alignment horizontal="center" readingOrder="0"/>
    </xf>
    <xf borderId="1" fillId="2" fontId="20" numFmtId="4" xfId="0" applyAlignment="1" applyBorder="1" applyFill="1" applyFont="1" applyNumberFormat="1">
      <alignment readingOrder="0"/>
    </xf>
    <xf borderId="0" fillId="12" fontId="20" numFmtId="0" xfId="0" applyAlignment="1" applyFill="1" applyFont="1">
      <alignment horizontal="center" readingOrder="0"/>
    </xf>
    <xf borderId="1" fillId="0" fontId="4" numFmtId="168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5" fontId="20" numFmtId="4" xfId="0" applyAlignment="1" applyBorder="1" applyFill="1" applyFont="1" applyNumberFormat="1">
      <alignment readingOrder="0"/>
    </xf>
    <xf borderId="1" fillId="0" fontId="4" numFmtId="168" xfId="0" applyAlignment="1" applyBorder="1" applyFont="1" applyNumberFormat="1">
      <alignment vertical="bottom"/>
    </xf>
    <xf borderId="1" fillId="34" fontId="20" numFmtId="4" xfId="0" applyAlignment="1" applyBorder="1" applyFill="1" applyFont="1" applyNumberFormat="1">
      <alignment horizontal="right" readingOrder="0"/>
    </xf>
    <xf borderId="0" fillId="20" fontId="20" numFmtId="0" xfId="0" applyAlignment="1" applyFill="1" applyFont="1">
      <alignment horizontal="center" readingOrder="0"/>
    </xf>
    <xf borderId="1" fillId="31" fontId="20" numFmtId="0" xfId="0" applyAlignment="1" applyBorder="1" applyFill="1" applyFont="1">
      <alignment horizontal="center" readingOrder="0"/>
    </xf>
    <xf borderId="15" fillId="9" fontId="20" numFmtId="4" xfId="0" applyAlignment="1" applyBorder="1" applyFill="1" applyFont="1" applyNumberFormat="1">
      <alignment readingOrder="0"/>
    </xf>
    <xf borderId="1" fillId="20" fontId="20" numFmtId="0" xfId="0" applyAlignment="1" applyBorder="1" applyFill="1" applyFont="1">
      <alignment horizontal="center" readingOrder="0"/>
    </xf>
    <xf borderId="1" fillId="39" fontId="20" numFmtId="4" xfId="0" applyAlignment="1" applyBorder="1" applyFill="1" applyFont="1" applyNumberFormat="1">
      <alignment horizontal="right" readingOrder="0"/>
    </xf>
    <xf borderId="1" fillId="39" fontId="4" numFmtId="4" xfId="0" applyAlignment="1" applyBorder="1" applyFill="1" applyFont="1" applyNumberFormat="1">
      <alignment horizontal="right"/>
    </xf>
    <xf borderId="1" fillId="39" fontId="20" numFmtId="4" xfId="0" applyAlignment="1" applyBorder="1" applyFill="1" applyFont="1" applyNumberFormat="1">
      <alignment horizontal="right" readingOrder="0" vertical="center"/>
    </xf>
    <xf borderId="8" fillId="0" fontId="20" numFmtId="0" xfId="0" applyBorder="1" applyFont="1"/>
    <xf borderId="1" fillId="0" fontId="20" numFmtId="0" xfId="0" applyBorder="1" applyFont="1"/>
    <xf borderId="1" fillId="0" fontId="20" numFmtId="0" xfId="0" applyAlignment="1" applyBorder="1" applyFont="1">
      <alignment readingOrder="0"/>
    </xf>
    <xf borderId="1" fillId="20" fontId="20" numFmtId="0" xfId="0" applyAlignment="1" applyBorder="1" applyFill="1" applyFont="1">
      <alignment readingOrder="0"/>
    </xf>
    <xf borderId="8" fillId="0" fontId="20" numFmtId="0" xfId="0" applyBorder="1" applyFont="1"/>
    <xf borderId="0" fillId="6" fontId="20" numFmtId="0" xfId="0" applyFill="1" applyFont="1"/>
    <xf borderId="1" fillId="2" fontId="20" numFmtId="0" xfId="0" applyBorder="1" applyFill="1" applyFont="1"/>
    <xf borderId="0" fillId="2" fontId="20" numFmtId="0" xfId="0" applyAlignment="1" applyFill="1" applyFont="1">
      <alignment readingOrder="0"/>
    </xf>
    <xf borderId="0" fillId="0" fontId="20" numFmtId="4" xfId="0" applyAlignment="1" applyFont="1" applyNumberFormat="1">
      <alignment horizontal="left" readingOrder="0"/>
    </xf>
    <xf borderId="0" fillId="0" fontId="20" numFmtId="0" xfId="0" applyAlignment="1" applyFont="1">
      <alignment horizontal="left" readingOrder="0"/>
    </xf>
    <xf borderId="0" fillId="6" fontId="20" numFmtId="174" xfId="0" applyAlignment="1" applyFill="1" applyFont="1" applyNumberFormat="1">
      <alignment readingOrder="0"/>
    </xf>
    <xf borderId="0" fillId="25" fontId="20" numFmtId="4" xfId="0" applyFill="1" applyFont="1" applyNumberFormat="1"/>
    <xf borderId="0" fillId="39" fontId="20" numFmtId="4" xfId="0" applyFill="1" applyFont="1" applyNumberFormat="1"/>
    <xf borderId="0" fillId="33" fontId="20" numFmtId="4" xfId="0" applyFill="1" applyFont="1" applyNumberFormat="1"/>
    <xf borderId="0" fillId="35" fontId="20" numFmtId="4" xfId="0" applyFill="1" applyFont="1" applyNumberFormat="1"/>
    <xf borderId="0" fillId="18" fontId="20" numFmtId="4" xfId="0" applyFill="1" applyFont="1" applyNumberFormat="1"/>
    <xf borderId="0" fillId="2" fontId="15" numFmtId="0" xfId="0" applyAlignment="1" applyFill="1" applyFont="1">
      <alignment readingOrder="0"/>
    </xf>
    <xf borderId="0" fillId="26" fontId="20" numFmtId="4" xfId="0" applyFill="1" applyFont="1" applyNumberFormat="1"/>
    <xf borderId="0" fillId="34" fontId="20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30.0"/>
    <col customWidth="1" min="4" max="4" width="9.13"/>
    <col customWidth="1" min="5" max="5" width="9.25"/>
    <col customWidth="1" min="6" max="6" width="12.75"/>
    <col customWidth="1" min="7" max="7" width="14.38"/>
    <col customWidth="1" min="8" max="8" width="11.13"/>
    <col customWidth="1" min="9" max="9" width="20.75"/>
    <col customWidth="1" min="10" max="26" width="14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3">
        <v>1.0</v>
      </c>
      <c r="B2" s="4" t="s">
        <v>9</v>
      </c>
      <c r="C2" s="4" t="s">
        <v>10</v>
      </c>
      <c r="D2" s="5">
        <v>62795.5</v>
      </c>
      <c r="E2" s="6">
        <v>31.0</v>
      </c>
      <c r="F2" s="6">
        <f t="shared" ref="F2:F79" si="1">D2*E2</f>
        <v>1946660.5</v>
      </c>
      <c r="G2" s="6">
        <f t="shared" ref="G2:G7" si="2">F2*52%</f>
        <v>1012263.46</v>
      </c>
      <c r="H2" s="6">
        <f t="shared" ref="H2:H79" si="3">F2-G2</f>
        <v>934397.04</v>
      </c>
      <c r="I2" s="6">
        <v>25000.0</v>
      </c>
    </row>
    <row r="3" ht="15.75" customHeight="1">
      <c r="A3" s="3">
        <v>2.0</v>
      </c>
      <c r="B3" s="4" t="s">
        <v>12</v>
      </c>
      <c r="C3" s="4" t="s">
        <v>14</v>
      </c>
      <c r="D3" s="5">
        <v>81077.8</v>
      </c>
      <c r="E3" s="6">
        <v>31.0</v>
      </c>
      <c r="F3" s="6">
        <f t="shared" si="1"/>
        <v>2513411.8</v>
      </c>
      <c r="G3" s="6">
        <f t="shared" si="2"/>
        <v>1306974.136</v>
      </c>
      <c r="H3" s="6">
        <f t="shared" si="3"/>
        <v>1206437.664</v>
      </c>
      <c r="I3" s="6">
        <v>25000.0</v>
      </c>
    </row>
    <row r="4" ht="15.75" customHeight="1">
      <c r="A4" s="3">
        <v>3.0</v>
      </c>
      <c r="B4" s="4" t="s">
        <v>22</v>
      </c>
      <c r="C4" s="4" t="s">
        <v>24</v>
      </c>
      <c r="D4" s="5">
        <v>81475.2</v>
      </c>
      <c r="E4" s="6">
        <v>31.0</v>
      </c>
      <c r="F4" s="6">
        <f t="shared" si="1"/>
        <v>2525731.2</v>
      </c>
      <c r="G4" s="6">
        <f t="shared" si="2"/>
        <v>1313380.224</v>
      </c>
      <c r="H4" s="6">
        <f t="shared" si="3"/>
        <v>1212350.976</v>
      </c>
      <c r="I4" s="6">
        <v>25000.0</v>
      </c>
    </row>
    <row r="5" ht="15.75" customHeight="1">
      <c r="A5" s="3">
        <v>4.0</v>
      </c>
      <c r="B5" s="4" t="s">
        <v>22</v>
      </c>
      <c r="C5" s="4" t="s">
        <v>29</v>
      </c>
      <c r="D5" s="5">
        <v>81475.2</v>
      </c>
      <c r="E5" s="6">
        <v>31.0</v>
      </c>
      <c r="F5" s="6">
        <f t="shared" si="1"/>
        <v>2525731.2</v>
      </c>
      <c r="G5" s="6">
        <f t="shared" si="2"/>
        <v>1313380.224</v>
      </c>
      <c r="H5" s="6">
        <f t="shared" si="3"/>
        <v>1212350.976</v>
      </c>
      <c r="I5" s="6">
        <v>25000.0</v>
      </c>
    </row>
    <row r="6" ht="15.75" customHeight="1">
      <c r="A6" s="3">
        <v>5.0</v>
      </c>
      <c r="B6" s="4" t="s">
        <v>33</v>
      </c>
      <c r="C6" s="4" t="s">
        <v>34</v>
      </c>
      <c r="D6" s="5">
        <v>102539.5</v>
      </c>
      <c r="E6" s="6">
        <v>31.0</v>
      </c>
      <c r="F6" s="6">
        <f t="shared" si="1"/>
        <v>3178724.5</v>
      </c>
      <c r="G6" s="6">
        <f t="shared" si="2"/>
        <v>1652936.74</v>
      </c>
      <c r="H6" s="6">
        <f t="shared" si="3"/>
        <v>1525787.76</v>
      </c>
      <c r="I6" s="6">
        <f t="shared" ref="I6:I7" si="4">D6*30%</f>
        <v>30761.85</v>
      </c>
    </row>
    <row r="7" ht="15.75" customHeight="1">
      <c r="A7" s="3">
        <v>6.0</v>
      </c>
      <c r="B7" s="4" t="s">
        <v>41</v>
      </c>
      <c r="C7" s="4" t="s">
        <v>42</v>
      </c>
      <c r="D7" s="5">
        <v>103334.4</v>
      </c>
      <c r="E7" s="6">
        <v>31.0</v>
      </c>
      <c r="F7" s="6">
        <f t="shared" si="1"/>
        <v>3203366.4</v>
      </c>
      <c r="G7" s="6">
        <f t="shared" si="2"/>
        <v>1665750.528</v>
      </c>
      <c r="H7" s="6">
        <f t="shared" si="3"/>
        <v>1537615.872</v>
      </c>
      <c r="I7" s="6">
        <f t="shared" si="4"/>
        <v>31000.32</v>
      </c>
    </row>
    <row r="8" ht="15.75" customHeight="1">
      <c r="A8" s="3">
        <v>7.0</v>
      </c>
      <c r="B8" s="4" t="s">
        <v>47</v>
      </c>
      <c r="C8" s="4" t="s">
        <v>48</v>
      </c>
      <c r="D8" s="5">
        <v>90624.1</v>
      </c>
      <c r="E8" s="6">
        <v>31.0</v>
      </c>
      <c r="F8" s="6">
        <f t="shared" si="1"/>
        <v>2809347.1</v>
      </c>
      <c r="G8" s="6">
        <f>F8*55%</f>
        <v>1545140.905</v>
      </c>
      <c r="H8" s="6">
        <f t="shared" si="3"/>
        <v>1264206.195</v>
      </c>
      <c r="I8" s="6">
        <v>25000.0</v>
      </c>
    </row>
    <row r="9" ht="15.75" customHeight="1">
      <c r="A9" s="3">
        <v>8.0</v>
      </c>
      <c r="B9" s="4" t="s">
        <v>54</v>
      </c>
      <c r="C9" s="4" t="s">
        <v>55</v>
      </c>
      <c r="D9" s="5">
        <v>116553.6</v>
      </c>
      <c r="E9" s="6">
        <v>31.0</v>
      </c>
      <c r="F9" s="6">
        <f t="shared" si="1"/>
        <v>3613161.6</v>
      </c>
      <c r="G9" s="6">
        <f t="shared" ref="G9:G11" si="5">F9*52%</f>
        <v>1878844.032</v>
      </c>
      <c r="H9" s="6">
        <f t="shared" si="3"/>
        <v>1734317.568</v>
      </c>
      <c r="I9" s="6">
        <v>35000.0</v>
      </c>
    </row>
    <row r="10" ht="15.75" customHeight="1">
      <c r="A10" s="3">
        <v>9.0</v>
      </c>
      <c r="B10" s="4" t="s">
        <v>54</v>
      </c>
      <c r="C10" s="4" t="s">
        <v>64</v>
      </c>
      <c r="D10" s="5">
        <v>116553.6</v>
      </c>
      <c r="E10" s="6">
        <v>31.0</v>
      </c>
      <c r="F10" s="6">
        <f t="shared" si="1"/>
        <v>3613161.6</v>
      </c>
      <c r="G10" s="6">
        <f t="shared" si="5"/>
        <v>1878844.032</v>
      </c>
      <c r="H10" s="6">
        <f t="shared" si="3"/>
        <v>1734317.568</v>
      </c>
      <c r="I10" s="6">
        <v>35000.0</v>
      </c>
    </row>
    <row r="11" ht="15.75" customHeight="1">
      <c r="A11" s="3">
        <v>10.0</v>
      </c>
      <c r="B11" s="4" t="s">
        <v>54</v>
      </c>
      <c r="C11" s="4" t="s">
        <v>71</v>
      </c>
      <c r="D11" s="5">
        <v>116553.6</v>
      </c>
      <c r="E11" s="6">
        <v>31.0</v>
      </c>
      <c r="F11" s="6">
        <f t="shared" si="1"/>
        <v>3613161.6</v>
      </c>
      <c r="G11" s="6">
        <f t="shared" si="5"/>
        <v>1878844.032</v>
      </c>
      <c r="H11" s="6">
        <f t="shared" si="3"/>
        <v>1734317.568</v>
      </c>
      <c r="I11" s="6">
        <v>35000.0</v>
      </c>
    </row>
    <row r="12" ht="15.75" customHeight="1">
      <c r="A12" s="3">
        <v>11.0</v>
      </c>
      <c r="B12" s="59" t="s">
        <v>54</v>
      </c>
      <c r="C12" s="4" t="s">
        <v>77</v>
      </c>
      <c r="D12" s="5">
        <v>116553.6</v>
      </c>
      <c r="E12" s="6">
        <v>31.0</v>
      </c>
      <c r="F12" s="6">
        <f t="shared" si="1"/>
        <v>3613161.6</v>
      </c>
      <c r="G12" s="61">
        <f>F12*52.58552%</f>
        <v>1899999.816</v>
      </c>
      <c r="H12" s="6">
        <f t="shared" si="3"/>
        <v>1713161.784</v>
      </c>
      <c r="I12" s="6">
        <v>35000.0</v>
      </c>
    </row>
    <row r="13" ht="15.75" customHeight="1">
      <c r="A13" s="3">
        <v>12.0</v>
      </c>
      <c r="B13" s="59" t="s">
        <v>54</v>
      </c>
      <c r="C13" s="4" t="s">
        <v>80</v>
      </c>
      <c r="D13" s="5">
        <v>116553.6</v>
      </c>
      <c r="E13" s="62">
        <v>32.0</v>
      </c>
      <c r="F13" s="6">
        <f t="shared" si="1"/>
        <v>3729715.2</v>
      </c>
      <c r="G13" s="61">
        <f>F13*53.6234%</f>
        <v>2000000.101</v>
      </c>
      <c r="H13" s="6">
        <f t="shared" si="3"/>
        <v>1729715.099</v>
      </c>
      <c r="I13" s="6">
        <v>35000.0</v>
      </c>
      <c r="J13" s="69" t="s">
        <v>87</v>
      </c>
    </row>
    <row r="14" ht="15.75" customHeight="1">
      <c r="A14" s="3">
        <v>13.0</v>
      </c>
      <c r="B14" s="4" t="s">
        <v>89</v>
      </c>
      <c r="C14" s="4" t="s">
        <v>90</v>
      </c>
      <c r="D14" s="5">
        <v>190080.0</v>
      </c>
      <c r="E14" s="6">
        <v>31.0</v>
      </c>
      <c r="F14" s="6">
        <f t="shared" si="1"/>
        <v>5892480</v>
      </c>
      <c r="G14" s="6">
        <f>F14*46%</f>
        <v>2710540.8</v>
      </c>
      <c r="H14" s="6">
        <f t="shared" si="3"/>
        <v>3181939.2</v>
      </c>
      <c r="I14" s="6">
        <v>50000.0</v>
      </c>
    </row>
    <row r="15" ht="15.75" customHeight="1">
      <c r="A15" s="3">
        <v>14.0</v>
      </c>
      <c r="B15" s="59" t="s">
        <v>89</v>
      </c>
      <c r="C15" s="4" t="s">
        <v>94</v>
      </c>
      <c r="D15" s="5">
        <v>190080.0</v>
      </c>
      <c r="E15" s="78">
        <v>31.0</v>
      </c>
      <c r="F15" s="6">
        <f t="shared" si="1"/>
        <v>5892480</v>
      </c>
      <c r="G15" s="61">
        <f>F15*47.5182%</f>
        <v>2800000.431</v>
      </c>
      <c r="H15" s="6">
        <f t="shared" si="3"/>
        <v>3092479.569</v>
      </c>
      <c r="I15" s="6">
        <v>50000.0</v>
      </c>
    </row>
    <row r="16" ht="15.75" customHeight="1">
      <c r="A16" s="3">
        <v>15.0</v>
      </c>
      <c r="B16" s="59" t="s">
        <v>99</v>
      </c>
      <c r="C16" s="80" t="s">
        <v>100</v>
      </c>
      <c r="D16" s="5">
        <v>166924.8</v>
      </c>
      <c r="E16" s="6">
        <v>31.0</v>
      </c>
      <c r="F16" s="6">
        <f t="shared" si="1"/>
        <v>5174668.8</v>
      </c>
      <c r="G16" s="61">
        <f>F16*56.04224%</f>
        <v>2900000.308</v>
      </c>
      <c r="H16" s="6">
        <f t="shared" si="3"/>
        <v>2274668.492</v>
      </c>
      <c r="I16" s="6">
        <v>50000.0</v>
      </c>
    </row>
    <row r="17" ht="15.75" customHeight="1">
      <c r="A17" s="3">
        <v>16.0</v>
      </c>
      <c r="B17" s="4" t="s">
        <v>105</v>
      </c>
      <c r="C17" s="4" t="s">
        <v>106</v>
      </c>
      <c r="D17" s="5">
        <v>141187.1</v>
      </c>
      <c r="E17" s="6">
        <v>31.0</v>
      </c>
      <c r="F17" s="6">
        <f t="shared" si="1"/>
        <v>4376800.1</v>
      </c>
      <c r="G17" s="6">
        <f>F17*55%</f>
        <v>2407240.055</v>
      </c>
      <c r="H17" s="6">
        <f t="shared" si="3"/>
        <v>1969560.045</v>
      </c>
      <c r="I17" s="6">
        <v>50000.0</v>
      </c>
    </row>
    <row r="18" ht="15.75" customHeight="1">
      <c r="A18" s="3">
        <v>17.0</v>
      </c>
      <c r="B18" s="4" t="s">
        <v>105</v>
      </c>
      <c r="C18" s="4" t="s">
        <v>113</v>
      </c>
      <c r="D18" s="5">
        <v>141187.1</v>
      </c>
      <c r="E18" s="6">
        <v>31.0</v>
      </c>
      <c r="F18" s="6">
        <f t="shared" si="1"/>
        <v>4376800.1</v>
      </c>
      <c r="G18" s="6">
        <f t="shared" ref="G18:G19" si="6">F18*50%</f>
        <v>2188400.05</v>
      </c>
      <c r="H18" s="6">
        <f t="shared" si="3"/>
        <v>2188400.05</v>
      </c>
      <c r="I18" s="6">
        <v>50000.0</v>
      </c>
    </row>
    <row r="19" ht="15.75" customHeight="1">
      <c r="A19" s="3">
        <v>18.0</v>
      </c>
      <c r="B19" s="4" t="s">
        <v>105</v>
      </c>
      <c r="C19" s="4" t="s">
        <v>121</v>
      </c>
      <c r="D19" s="5">
        <v>141187.1</v>
      </c>
      <c r="E19" s="6">
        <v>31.0</v>
      </c>
      <c r="F19" s="6">
        <f t="shared" si="1"/>
        <v>4376800.1</v>
      </c>
      <c r="G19" s="6">
        <f t="shared" si="6"/>
        <v>2188400.05</v>
      </c>
      <c r="H19" s="6">
        <f t="shared" si="3"/>
        <v>2188400.05</v>
      </c>
      <c r="I19" s="6">
        <v>50000.0</v>
      </c>
    </row>
    <row r="20" ht="15.75" customHeight="1">
      <c r="A20" s="3">
        <v>19.0</v>
      </c>
      <c r="B20" s="59" t="s">
        <v>130</v>
      </c>
      <c r="C20" s="4" t="s">
        <v>132</v>
      </c>
      <c r="D20" s="5">
        <v>126385.9</v>
      </c>
      <c r="E20" s="6">
        <v>31.0</v>
      </c>
      <c r="F20" s="6">
        <f t="shared" si="1"/>
        <v>3917962.9</v>
      </c>
      <c r="G20" s="61">
        <f>F20*57.4278%</f>
        <v>2249999.898</v>
      </c>
      <c r="H20" s="6">
        <f t="shared" si="3"/>
        <v>1667963.002</v>
      </c>
      <c r="I20" s="6">
        <v>50000.0</v>
      </c>
    </row>
    <row r="21" ht="15.75" customHeight="1">
      <c r="A21" s="3">
        <v>20.0</v>
      </c>
      <c r="B21" s="59" t="s">
        <v>142</v>
      </c>
      <c r="C21" s="4" t="s">
        <v>143</v>
      </c>
      <c r="D21" s="5">
        <v>144429.7</v>
      </c>
      <c r="E21" s="6">
        <v>31.0</v>
      </c>
      <c r="F21" s="6">
        <f t="shared" si="1"/>
        <v>4477320.7</v>
      </c>
      <c r="G21" s="61">
        <f>F21*59.18718%</f>
        <v>2649999.862</v>
      </c>
      <c r="H21" s="6">
        <f t="shared" si="3"/>
        <v>1827320.838</v>
      </c>
      <c r="I21" s="6">
        <v>50000.0</v>
      </c>
    </row>
    <row r="22" ht="15.75" customHeight="1">
      <c r="A22" s="3">
        <v>21.0</v>
      </c>
      <c r="B22" s="4" t="s">
        <v>142</v>
      </c>
      <c r="C22" s="4" t="s">
        <v>151</v>
      </c>
      <c r="D22" s="5">
        <v>144429.7</v>
      </c>
      <c r="E22" s="6">
        <v>31.0</v>
      </c>
      <c r="F22" s="6">
        <f t="shared" si="1"/>
        <v>4477320.7</v>
      </c>
      <c r="G22" s="6">
        <f>F22*55%</f>
        <v>2462526.385</v>
      </c>
      <c r="H22" s="6">
        <f t="shared" si="3"/>
        <v>2014794.315</v>
      </c>
      <c r="I22" s="6">
        <v>50000.0</v>
      </c>
    </row>
    <row r="23" ht="15.75" customHeight="1">
      <c r="A23" s="3">
        <v>22.0</v>
      </c>
      <c r="B23" s="59" t="s">
        <v>156</v>
      </c>
      <c r="C23" s="4" t="s">
        <v>157</v>
      </c>
      <c r="D23" s="5">
        <v>147315.5</v>
      </c>
      <c r="E23" s="6">
        <v>31.0</v>
      </c>
      <c r="F23" s="6">
        <f t="shared" si="1"/>
        <v>4566780.5</v>
      </c>
      <c r="G23" s="61">
        <f>F23*61.31233%</f>
        <v>2799999.531</v>
      </c>
      <c r="H23" s="6">
        <f t="shared" si="3"/>
        <v>1766780.969</v>
      </c>
      <c r="I23" s="6">
        <v>50000.0</v>
      </c>
    </row>
    <row r="24" ht="15.75" customHeight="1">
      <c r="A24" s="3">
        <v>23.0</v>
      </c>
      <c r="B24" s="4" t="s">
        <v>162</v>
      </c>
      <c r="C24" s="4" t="s">
        <v>165</v>
      </c>
      <c r="D24" s="5">
        <v>140530.5</v>
      </c>
      <c r="E24" s="6">
        <v>31.0</v>
      </c>
      <c r="F24" s="6">
        <f t="shared" si="1"/>
        <v>4356445.5</v>
      </c>
      <c r="G24" s="6">
        <f t="shared" ref="G24:G27" si="7">F24*52%</f>
        <v>2265351.66</v>
      </c>
      <c r="H24" s="6">
        <f t="shared" si="3"/>
        <v>2091093.84</v>
      </c>
      <c r="I24" s="6">
        <v>50000.0</v>
      </c>
    </row>
    <row r="25" ht="15.75" customHeight="1">
      <c r="A25" s="3">
        <v>24.0</v>
      </c>
      <c r="B25" s="4" t="s">
        <v>162</v>
      </c>
      <c r="C25" s="4" t="s">
        <v>169</v>
      </c>
      <c r="D25" s="5">
        <v>140530.5</v>
      </c>
      <c r="E25" s="6">
        <v>31.0</v>
      </c>
      <c r="F25" s="6">
        <f t="shared" si="1"/>
        <v>4356445.5</v>
      </c>
      <c r="G25" s="6">
        <f t="shared" si="7"/>
        <v>2265351.66</v>
      </c>
      <c r="H25" s="6">
        <f t="shared" si="3"/>
        <v>2091093.84</v>
      </c>
      <c r="I25" s="6">
        <v>50000.0</v>
      </c>
    </row>
    <row r="26" ht="15.75" customHeight="1">
      <c r="A26" s="3">
        <v>25.0</v>
      </c>
      <c r="B26" s="4" t="s">
        <v>162</v>
      </c>
      <c r="C26" s="4" t="s">
        <v>176</v>
      </c>
      <c r="D26" s="5">
        <v>140530.5</v>
      </c>
      <c r="E26" s="6">
        <v>31.0</v>
      </c>
      <c r="F26" s="6">
        <f t="shared" si="1"/>
        <v>4356445.5</v>
      </c>
      <c r="G26" s="6">
        <f t="shared" si="7"/>
        <v>2265351.66</v>
      </c>
      <c r="H26" s="6">
        <f t="shared" si="3"/>
        <v>2091093.84</v>
      </c>
      <c r="I26" s="6">
        <v>50000.0</v>
      </c>
    </row>
    <row r="27" ht="15.75" customHeight="1">
      <c r="A27" s="3">
        <v>26.0</v>
      </c>
      <c r="B27" s="4" t="s">
        <v>162</v>
      </c>
      <c r="C27" s="4" t="s">
        <v>181</v>
      </c>
      <c r="D27" s="5">
        <v>140530.5</v>
      </c>
      <c r="E27" s="6">
        <v>31.0</v>
      </c>
      <c r="F27" s="6">
        <f t="shared" si="1"/>
        <v>4356445.5</v>
      </c>
      <c r="G27" s="6">
        <f t="shared" si="7"/>
        <v>2265351.66</v>
      </c>
      <c r="H27" s="6">
        <f t="shared" si="3"/>
        <v>2091093.84</v>
      </c>
      <c r="I27" s="6">
        <v>50000.0</v>
      </c>
    </row>
    <row r="28" ht="15.75" customHeight="1">
      <c r="A28" s="3">
        <v>27.0</v>
      </c>
      <c r="B28" s="4" t="s">
        <v>188</v>
      </c>
      <c r="C28" s="4" t="s">
        <v>189</v>
      </c>
      <c r="D28" s="5">
        <v>137196.3</v>
      </c>
      <c r="E28" s="104">
        <v>31.0</v>
      </c>
      <c r="F28" s="6">
        <f t="shared" si="1"/>
        <v>4253085.3</v>
      </c>
      <c r="G28" s="6">
        <f>F28*60%</f>
        <v>2551851.18</v>
      </c>
      <c r="H28" s="6">
        <f t="shared" si="3"/>
        <v>1701234.12</v>
      </c>
      <c r="I28" s="6">
        <v>50000.0</v>
      </c>
    </row>
    <row r="29" ht="15.75" customHeight="1">
      <c r="A29" s="3">
        <v>28.0</v>
      </c>
      <c r="B29" s="4" t="s">
        <v>188</v>
      </c>
      <c r="C29" s="4" t="s">
        <v>197</v>
      </c>
      <c r="D29" s="5">
        <v>137196.3</v>
      </c>
      <c r="E29" s="6">
        <v>31.0</v>
      </c>
      <c r="F29" s="6">
        <f t="shared" si="1"/>
        <v>4253085.3</v>
      </c>
      <c r="G29" s="6">
        <f t="shared" ref="G29:G33" si="8">F29*52%</f>
        <v>2211604.356</v>
      </c>
      <c r="H29" s="6">
        <f t="shared" si="3"/>
        <v>2041480.944</v>
      </c>
      <c r="I29" s="6">
        <v>50000.0</v>
      </c>
    </row>
    <row r="30" ht="15.75" customHeight="1">
      <c r="A30" s="3">
        <v>29.0</v>
      </c>
      <c r="B30" s="4" t="s">
        <v>188</v>
      </c>
      <c r="C30" s="4" t="s">
        <v>207</v>
      </c>
      <c r="D30" s="5">
        <v>137196.3</v>
      </c>
      <c r="E30" s="6">
        <v>31.0</v>
      </c>
      <c r="F30" s="6">
        <f t="shared" si="1"/>
        <v>4253085.3</v>
      </c>
      <c r="G30" s="6">
        <f t="shared" si="8"/>
        <v>2211604.356</v>
      </c>
      <c r="H30" s="6">
        <f t="shared" si="3"/>
        <v>2041480.944</v>
      </c>
      <c r="I30" s="6">
        <v>50000.0</v>
      </c>
    </row>
    <row r="31" ht="15.75" customHeight="1">
      <c r="A31" s="3">
        <v>30.0</v>
      </c>
      <c r="B31" s="4" t="s">
        <v>188</v>
      </c>
      <c r="C31" s="4" t="s">
        <v>212</v>
      </c>
      <c r="D31" s="5">
        <v>137196.3</v>
      </c>
      <c r="E31" s="6">
        <v>31.0</v>
      </c>
      <c r="F31" s="6">
        <f t="shared" si="1"/>
        <v>4253085.3</v>
      </c>
      <c r="G31" s="6">
        <f t="shared" si="8"/>
        <v>2211604.356</v>
      </c>
      <c r="H31" s="6">
        <f t="shared" si="3"/>
        <v>2041480.944</v>
      </c>
      <c r="I31" s="6">
        <v>50000.0</v>
      </c>
    </row>
    <row r="32" ht="15.75" customHeight="1">
      <c r="A32" s="3">
        <v>31.0</v>
      </c>
      <c r="B32" s="4" t="s">
        <v>188</v>
      </c>
      <c r="C32" s="4" t="s">
        <v>212</v>
      </c>
      <c r="D32" s="5">
        <v>137196.3</v>
      </c>
      <c r="E32" s="6">
        <v>31.0</v>
      </c>
      <c r="F32" s="6">
        <f t="shared" si="1"/>
        <v>4253085.3</v>
      </c>
      <c r="G32" s="6">
        <f t="shared" si="8"/>
        <v>2211604.356</v>
      </c>
      <c r="H32" s="6">
        <f t="shared" si="3"/>
        <v>2041480.944</v>
      </c>
      <c r="I32" s="6">
        <v>50000.0</v>
      </c>
    </row>
    <row r="33" ht="15.75" customHeight="1">
      <c r="A33" s="3">
        <v>32.0</v>
      </c>
      <c r="B33" s="4" t="s">
        <v>188</v>
      </c>
      <c r="C33" s="4" t="s">
        <v>216</v>
      </c>
      <c r="D33" s="5">
        <v>137196.3</v>
      </c>
      <c r="E33" s="78">
        <v>31.0</v>
      </c>
      <c r="F33" s="6">
        <f t="shared" si="1"/>
        <v>4253085.3</v>
      </c>
      <c r="G33" s="6">
        <f t="shared" si="8"/>
        <v>2211604.356</v>
      </c>
      <c r="H33" s="6">
        <f t="shared" si="3"/>
        <v>2041480.944</v>
      </c>
      <c r="I33" s="6">
        <v>50000.0</v>
      </c>
    </row>
    <row r="34" ht="15.75" customHeight="1">
      <c r="A34" s="3">
        <v>33.0</v>
      </c>
      <c r="B34" s="4" t="s">
        <v>217</v>
      </c>
      <c r="C34" s="4" t="s">
        <v>218</v>
      </c>
      <c r="D34" s="5">
        <v>169230.0</v>
      </c>
      <c r="E34" s="6">
        <v>31.0</v>
      </c>
      <c r="F34" s="6">
        <f t="shared" si="1"/>
        <v>5246130</v>
      </c>
      <c r="G34" s="6">
        <f>F34*55%</f>
        <v>2885371.5</v>
      </c>
      <c r="H34" s="6">
        <f t="shared" si="3"/>
        <v>2360758.5</v>
      </c>
      <c r="I34" s="6">
        <v>50000.0</v>
      </c>
    </row>
    <row r="35" ht="15.75" customHeight="1">
      <c r="A35" s="3">
        <v>34.0</v>
      </c>
      <c r="B35" s="4" t="s">
        <v>219</v>
      </c>
      <c r="C35" s="4" t="s">
        <v>221</v>
      </c>
      <c r="D35" s="5">
        <v>170104.3</v>
      </c>
      <c r="E35" s="6">
        <v>31.0</v>
      </c>
      <c r="F35" s="6">
        <f t="shared" si="1"/>
        <v>5273233.3</v>
      </c>
      <c r="G35" s="6">
        <f>F35*56%</f>
        <v>2953010.648</v>
      </c>
      <c r="H35" s="6">
        <f t="shared" si="3"/>
        <v>2320222.652</v>
      </c>
      <c r="I35" s="6">
        <v>50000.0</v>
      </c>
    </row>
    <row r="36" ht="15.75" customHeight="1">
      <c r="A36" s="3">
        <v>35.0</v>
      </c>
      <c r="B36" s="4" t="s">
        <v>219</v>
      </c>
      <c r="C36" s="4" t="s">
        <v>223</v>
      </c>
      <c r="D36" s="5">
        <v>170104.3</v>
      </c>
      <c r="E36" s="6">
        <v>31.0</v>
      </c>
      <c r="F36" s="6">
        <f t="shared" si="1"/>
        <v>5273233.3</v>
      </c>
      <c r="G36" s="6">
        <f>F36*52%</f>
        <v>2742081.316</v>
      </c>
      <c r="H36" s="6">
        <f t="shared" si="3"/>
        <v>2531151.984</v>
      </c>
      <c r="I36" s="6">
        <v>50000.0</v>
      </c>
    </row>
    <row r="37" ht="15.75" customHeight="1">
      <c r="A37" s="3">
        <v>36.0</v>
      </c>
      <c r="B37" s="4" t="s">
        <v>227</v>
      </c>
      <c r="C37" s="4" t="s">
        <v>229</v>
      </c>
      <c r="D37" s="5">
        <v>157966.8</v>
      </c>
      <c r="E37" s="6">
        <v>31.0</v>
      </c>
      <c r="F37" s="6">
        <f t="shared" si="1"/>
        <v>4896970.8</v>
      </c>
      <c r="G37" s="6">
        <f>F37*63%</f>
        <v>3085091.604</v>
      </c>
      <c r="H37" s="6">
        <f t="shared" si="3"/>
        <v>1811879.196</v>
      </c>
      <c r="I37" s="6">
        <v>50000.0</v>
      </c>
    </row>
    <row r="38" ht="15.75" customHeight="1">
      <c r="A38" s="3">
        <v>37.0</v>
      </c>
      <c r="B38" s="4" t="s">
        <v>227</v>
      </c>
      <c r="C38" s="4" t="s">
        <v>235</v>
      </c>
      <c r="D38" s="5">
        <v>157966.8</v>
      </c>
      <c r="E38" s="6">
        <v>31.0</v>
      </c>
      <c r="F38" s="6">
        <f t="shared" si="1"/>
        <v>4896970.8</v>
      </c>
      <c r="G38" s="6">
        <f t="shared" ref="G38:G42" si="9">F38*52%</f>
        <v>2546424.816</v>
      </c>
      <c r="H38" s="6">
        <f t="shared" si="3"/>
        <v>2350545.984</v>
      </c>
      <c r="I38" s="6">
        <v>50000.0</v>
      </c>
    </row>
    <row r="39" ht="15.75" customHeight="1">
      <c r="A39" s="3">
        <v>38.0</v>
      </c>
      <c r="B39" s="4" t="s">
        <v>227</v>
      </c>
      <c r="C39" s="4" t="s">
        <v>229</v>
      </c>
      <c r="D39" s="5">
        <v>157966.8</v>
      </c>
      <c r="E39" s="6">
        <v>31.0</v>
      </c>
      <c r="F39" s="6">
        <f t="shared" si="1"/>
        <v>4896970.8</v>
      </c>
      <c r="G39" s="6">
        <f t="shared" si="9"/>
        <v>2546424.816</v>
      </c>
      <c r="H39" s="6">
        <f t="shared" si="3"/>
        <v>2350545.984</v>
      </c>
      <c r="I39" s="6">
        <v>50000.0</v>
      </c>
    </row>
    <row r="40" ht="15.75" customHeight="1">
      <c r="A40" s="3">
        <v>39.0</v>
      </c>
      <c r="B40" s="4" t="s">
        <v>227</v>
      </c>
      <c r="C40" s="4" t="s">
        <v>243</v>
      </c>
      <c r="D40" s="5">
        <v>157966.8</v>
      </c>
      <c r="E40" s="6">
        <v>31.0</v>
      </c>
      <c r="F40" s="6">
        <f t="shared" si="1"/>
        <v>4896970.8</v>
      </c>
      <c r="G40" s="6">
        <f t="shared" si="9"/>
        <v>2546424.816</v>
      </c>
      <c r="H40" s="6">
        <f t="shared" si="3"/>
        <v>2350545.984</v>
      </c>
      <c r="I40" s="6">
        <v>50000.0</v>
      </c>
    </row>
    <row r="41" ht="15.75" customHeight="1">
      <c r="A41" s="3">
        <v>40.0</v>
      </c>
      <c r="B41" s="4" t="s">
        <v>227</v>
      </c>
      <c r="C41" s="4" t="s">
        <v>229</v>
      </c>
      <c r="D41" s="5">
        <v>157966.8</v>
      </c>
      <c r="E41" s="6">
        <v>31.0</v>
      </c>
      <c r="F41" s="6">
        <f t="shared" si="1"/>
        <v>4896970.8</v>
      </c>
      <c r="G41" s="6">
        <f t="shared" si="9"/>
        <v>2546424.816</v>
      </c>
      <c r="H41" s="6">
        <f t="shared" si="3"/>
        <v>2350545.984</v>
      </c>
      <c r="I41" s="6">
        <v>50000.0</v>
      </c>
    </row>
    <row r="42" ht="15.75" customHeight="1">
      <c r="A42" s="3">
        <v>41.0</v>
      </c>
      <c r="B42" s="4" t="s">
        <v>95</v>
      </c>
      <c r="C42" s="4" t="s">
        <v>247</v>
      </c>
      <c r="D42" s="5">
        <v>175442.1</v>
      </c>
      <c r="E42" s="6">
        <v>31.0</v>
      </c>
      <c r="F42" s="6">
        <f t="shared" si="1"/>
        <v>5438705.1</v>
      </c>
      <c r="G42" s="6">
        <f t="shared" si="9"/>
        <v>2828126.652</v>
      </c>
      <c r="H42" s="6">
        <f t="shared" si="3"/>
        <v>2610578.448</v>
      </c>
      <c r="I42" s="6">
        <v>50000.0</v>
      </c>
    </row>
    <row r="43" ht="15.75" customHeight="1">
      <c r="A43" s="3">
        <v>42.0</v>
      </c>
      <c r="B43" s="4" t="s">
        <v>250</v>
      </c>
      <c r="C43" s="4" t="s">
        <v>251</v>
      </c>
      <c r="D43" s="5">
        <v>170104.3</v>
      </c>
      <c r="E43" s="6">
        <v>31.0</v>
      </c>
      <c r="F43" s="6">
        <f t="shared" si="1"/>
        <v>5273233.3</v>
      </c>
      <c r="G43" s="6">
        <f>F43*53%</f>
        <v>2794813.649</v>
      </c>
      <c r="H43" s="6">
        <f t="shared" si="3"/>
        <v>2478419.651</v>
      </c>
      <c r="I43" s="6">
        <v>50000.0</v>
      </c>
    </row>
    <row r="44" ht="15.75" customHeight="1">
      <c r="A44" s="3">
        <v>43.0</v>
      </c>
      <c r="B44" s="59" t="s">
        <v>166</v>
      </c>
      <c r="C44" s="4" t="s">
        <v>255</v>
      </c>
      <c r="D44" s="5">
        <v>76308.5</v>
      </c>
      <c r="E44" s="6">
        <v>31.0</v>
      </c>
      <c r="F44" s="6">
        <f t="shared" si="1"/>
        <v>2365563.5</v>
      </c>
      <c r="G44" s="61">
        <f>F44*61.29616%</f>
        <v>1449999.588</v>
      </c>
      <c r="H44" s="6">
        <f t="shared" si="3"/>
        <v>915563.9121</v>
      </c>
      <c r="I44" s="6">
        <v>25000.0</v>
      </c>
    </row>
    <row r="45" ht="15.75" customHeight="1">
      <c r="A45" s="3">
        <v>44.0</v>
      </c>
      <c r="B45" s="4" t="s">
        <v>256</v>
      </c>
      <c r="C45" s="4" t="s">
        <v>257</v>
      </c>
      <c r="D45" s="5">
        <v>92206.1</v>
      </c>
      <c r="E45" s="6">
        <v>31.0</v>
      </c>
      <c r="F45" s="6">
        <f t="shared" si="1"/>
        <v>2858389.1</v>
      </c>
      <c r="G45" s="6">
        <f t="shared" ref="G45:G47" si="10">F45*55%</f>
        <v>1572114.005</v>
      </c>
      <c r="H45" s="6">
        <f t="shared" si="3"/>
        <v>1286275.095</v>
      </c>
      <c r="I45" s="6">
        <v>30000.0</v>
      </c>
    </row>
    <row r="46" ht="15.75" customHeight="1">
      <c r="A46" s="3">
        <v>45.0</v>
      </c>
      <c r="B46" s="4" t="s">
        <v>256</v>
      </c>
      <c r="C46" s="4" t="s">
        <v>259</v>
      </c>
      <c r="D46" s="5">
        <v>92206.1</v>
      </c>
      <c r="E46" s="6">
        <v>31.0</v>
      </c>
      <c r="F46" s="6">
        <f t="shared" si="1"/>
        <v>2858389.1</v>
      </c>
      <c r="G46" s="6">
        <f t="shared" si="10"/>
        <v>1572114.005</v>
      </c>
      <c r="H46" s="6">
        <f t="shared" si="3"/>
        <v>1286275.095</v>
      </c>
      <c r="I46" s="6">
        <v>30000.0</v>
      </c>
    </row>
    <row r="47" ht="15.75" customHeight="1">
      <c r="A47" s="3">
        <v>46.0</v>
      </c>
      <c r="B47" s="4" t="s">
        <v>256</v>
      </c>
      <c r="C47" s="4" t="s">
        <v>265</v>
      </c>
      <c r="D47" s="5">
        <v>92206.1</v>
      </c>
      <c r="E47" s="6">
        <v>31.0</v>
      </c>
      <c r="F47" s="6">
        <f t="shared" si="1"/>
        <v>2858389.1</v>
      </c>
      <c r="G47" s="6">
        <f t="shared" si="10"/>
        <v>1572114.005</v>
      </c>
      <c r="H47" s="6">
        <f t="shared" si="3"/>
        <v>1286275.095</v>
      </c>
      <c r="I47" s="6">
        <v>30000.0</v>
      </c>
    </row>
    <row r="48" ht="15.75" customHeight="1">
      <c r="A48" s="3">
        <v>47.0</v>
      </c>
      <c r="B48" s="4" t="s">
        <v>268</v>
      </c>
      <c r="C48" s="4" t="s">
        <v>269</v>
      </c>
      <c r="D48" s="5">
        <v>104129.3</v>
      </c>
      <c r="E48" s="6">
        <v>31.0</v>
      </c>
      <c r="F48" s="6">
        <f t="shared" si="1"/>
        <v>3228008.3</v>
      </c>
      <c r="G48" s="6">
        <f t="shared" ref="G48:G51" si="11">F48*54%</f>
        <v>1743124.482</v>
      </c>
      <c r="H48" s="6">
        <f t="shared" si="3"/>
        <v>1484883.818</v>
      </c>
      <c r="I48" s="6">
        <v>30000.0</v>
      </c>
    </row>
    <row r="49" ht="15.75" customHeight="1">
      <c r="A49" s="3">
        <v>48.0</v>
      </c>
      <c r="B49" s="4" t="s">
        <v>268</v>
      </c>
      <c r="C49" s="4" t="s">
        <v>269</v>
      </c>
      <c r="D49" s="5">
        <v>104129.3</v>
      </c>
      <c r="E49" s="6">
        <v>31.0</v>
      </c>
      <c r="F49" s="6">
        <f t="shared" si="1"/>
        <v>3228008.3</v>
      </c>
      <c r="G49" s="6">
        <f t="shared" si="11"/>
        <v>1743124.482</v>
      </c>
      <c r="H49" s="6">
        <f t="shared" si="3"/>
        <v>1484883.818</v>
      </c>
      <c r="I49" s="6">
        <v>30000.0</v>
      </c>
    </row>
    <row r="50" ht="15.75" customHeight="1">
      <c r="A50" s="3">
        <v>49.0</v>
      </c>
      <c r="B50" s="4" t="s">
        <v>268</v>
      </c>
      <c r="C50" s="4" t="s">
        <v>269</v>
      </c>
      <c r="D50" s="5">
        <v>104129.3</v>
      </c>
      <c r="E50" s="6">
        <v>31.0</v>
      </c>
      <c r="F50" s="6">
        <f t="shared" si="1"/>
        <v>3228008.3</v>
      </c>
      <c r="G50" s="6">
        <f t="shared" si="11"/>
        <v>1743124.482</v>
      </c>
      <c r="H50" s="6">
        <f t="shared" si="3"/>
        <v>1484883.818</v>
      </c>
      <c r="I50" s="6">
        <v>30000.0</v>
      </c>
    </row>
    <row r="51" ht="15.75" customHeight="1">
      <c r="A51" s="3">
        <v>50.0</v>
      </c>
      <c r="B51" s="4" t="s">
        <v>268</v>
      </c>
      <c r="C51" s="4" t="s">
        <v>269</v>
      </c>
      <c r="D51" s="5">
        <v>104129.3</v>
      </c>
      <c r="E51" s="6">
        <v>31.0</v>
      </c>
      <c r="F51" s="6">
        <f t="shared" si="1"/>
        <v>3228008.3</v>
      </c>
      <c r="G51" s="6">
        <f t="shared" si="11"/>
        <v>1743124.482</v>
      </c>
      <c r="H51" s="6">
        <f t="shared" si="3"/>
        <v>1484883.818</v>
      </c>
      <c r="I51" s="6">
        <v>30000.0</v>
      </c>
    </row>
    <row r="52" ht="15.75" customHeight="1">
      <c r="A52" s="3">
        <v>51.0</v>
      </c>
      <c r="B52" s="4" t="s">
        <v>276</v>
      </c>
      <c r="C52" s="4" t="s">
        <v>277</v>
      </c>
      <c r="D52" s="5">
        <v>114756.5</v>
      </c>
      <c r="E52" s="6">
        <v>31.0</v>
      </c>
      <c r="F52" s="6">
        <f t="shared" si="1"/>
        <v>3557451.5</v>
      </c>
      <c r="G52" s="6">
        <f t="shared" ref="G52:G54" si="12">F52*52%</f>
        <v>1849874.78</v>
      </c>
      <c r="H52" s="6">
        <f t="shared" si="3"/>
        <v>1707576.72</v>
      </c>
      <c r="I52" s="6">
        <v>35000.0</v>
      </c>
    </row>
    <row r="53" ht="15.75" customHeight="1">
      <c r="A53" s="3">
        <v>52.0</v>
      </c>
      <c r="B53" s="4" t="s">
        <v>276</v>
      </c>
      <c r="C53" s="4" t="s">
        <v>281</v>
      </c>
      <c r="D53" s="5">
        <v>114756.5</v>
      </c>
      <c r="E53" s="6">
        <v>31.0</v>
      </c>
      <c r="F53" s="6">
        <f t="shared" si="1"/>
        <v>3557451.5</v>
      </c>
      <c r="G53" s="6">
        <f t="shared" si="12"/>
        <v>1849874.78</v>
      </c>
      <c r="H53" s="6">
        <f t="shared" si="3"/>
        <v>1707576.72</v>
      </c>
      <c r="I53" s="6">
        <v>35000.0</v>
      </c>
    </row>
    <row r="54" ht="15.75" customHeight="1">
      <c r="A54" s="3">
        <v>53.0</v>
      </c>
      <c r="B54" s="4" t="s">
        <v>276</v>
      </c>
      <c r="C54" s="4" t="s">
        <v>282</v>
      </c>
      <c r="D54" s="5">
        <v>114756.5</v>
      </c>
      <c r="E54" s="6">
        <v>31.0</v>
      </c>
      <c r="F54" s="6">
        <f t="shared" si="1"/>
        <v>3557451.5</v>
      </c>
      <c r="G54" s="6">
        <f t="shared" si="12"/>
        <v>1849874.78</v>
      </c>
      <c r="H54" s="6">
        <f t="shared" si="3"/>
        <v>1707576.72</v>
      </c>
      <c r="I54" s="6">
        <v>35000.0</v>
      </c>
    </row>
    <row r="55" ht="15.75" customHeight="1">
      <c r="A55" s="3">
        <v>54.0</v>
      </c>
      <c r="B55" s="4" t="s">
        <v>285</v>
      </c>
      <c r="C55" s="4" t="s">
        <v>286</v>
      </c>
      <c r="D55" s="5">
        <v>136296.0</v>
      </c>
      <c r="E55" s="6">
        <v>31.0</v>
      </c>
      <c r="F55" s="6">
        <f t="shared" si="1"/>
        <v>4225176</v>
      </c>
      <c r="G55" s="6">
        <f t="shared" ref="G55:G56" si="13">F55*54%</f>
        <v>2281595.04</v>
      </c>
      <c r="H55" s="6">
        <f t="shared" si="3"/>
        <v>1943580.96</v>
      </c>
      <c r="I55" s="6">
        <v>40000.0</v>
      </c>
    </row>
    <row r="56" ht="15.75" customHeight="1">
      <c r="A56" s="3">
        <v>55.0</v>
      </c>
      <c r="B56" s="4" t="s">
        <v>285</v>
      </c>
      <c r="C56" s="4" t="s">
        <v>290</v>
      </c>
      <c r="D56" s="5">
        <v>136296.0</v>
      </c>
      <c r="E56" s="6">
        <v>31.0</v>
      </c>
      <c r="F56" s="6">
        <f t="shared" si="1"/>
        <v>4225176</v>
      </c>
      <c r="G56" s="6">
        <f t="shared" si="13"/>
        <v>2281595.04</v>
      </c>
      <c r="H56" s="6">
        <f t="shared" si="3"/>
        <v>1943580.96</v>
      </c>
      <c r="I56" s="6">
        <v>40000.0</v>
      </c>
    </row>
    <row r="57" ht="15.75" customHeight="1">
      <c r="A57" s="3">
        <v>56.0</v>
      </c>
      <c r="B57" s="4" t="s">
        <v>294</v>
      </c>
      <c r="C57" s="4" t="s">
        <v>295</v>
      </c>
      <c r="D57" s="5">
        <v>74305.7</v>
      </c>
      <c r="E57" s="6">
        <v>31.0</v>
      </c>
      <c r="F57" s="6">
        <f t="shared" si="1"/>
        <v>2303476.7</v>
      </c>
      <c r="G57" s="6">
        <f t="shared" ref="G57:G58" si="14">F57*50%</f>
        <v>1151738.35</v>
      </c>
      <c r="H57" s="6">
        <f t="shared" si="3"/>
        <v>1151738.35</v>
      </c>
      <c r="I57" s="6">
        <v>25000.0</v>
      </c>
    </row>
    <row r="58" ht="15.75" customHeight="1">
      <c r="A58" s="3">
        <v>57.0</v>
      </c>
      <c r="B58" s="4" t="s">
        <v>294</v>
      </c>
      <c r="C58" s="4" t="s">
        <v>296</v>
      </c>
      <c r="D58" s="5">
        <v>74305.7</v>
      </c>
      <c r="E58" s="6">
        <v>31.0</v>
      </c>
      <c r="F58" s="6">
        <f t="shared" si="1"/>
        <v>2303476.7</v>
      </c>
      <c r="G58" s="6">
        <f t="shared" si="14"/>
        <v>1151738.35</v>
      </c>
      <c r="H58" s="6">
        <f t="shared" si="3"/>
        <v>1151738.35</v>
      </c>
      <c r="I58" s="6">
        <v>25000.0</v>
      </c>
    </row>
    <row r="59" ht="15.75" customHeight="1">
      <c r="A59" s="3">
        <v>58.0</v>
      </c>
      <c r="B59" s="4" t="s">
        <v>299</v>
      </c>
      <c r="C59" s="4" t="s">
        <v>300</v>
      </c>
      <c r="D59" s="5">
        <v>40856.8</v>
      </c>
      <c r="E59" s="6">
        <v>31.0</v>
      </c>
      <c r="F59" s="6">
        <f t="shared" si="1"/>
        <v>1266560.8</v>
      </c>
      <c r="G59" s="6">
        <f>F59*45%</f>
        <v>569952.36</v>
      </c>
      <c r="H59" s="6">
        <f t="shared" si="3"/>
        <v>696608.44</v>
      </c>
      <c r="I59" s="6">
        <v>20000.0</v>
      </c>
    </row>
    <row r="60" ht="15.75" customHeight="1">
      <c r="A60" s="3">
        <v>59.0</v>
      </c>
      <c r="B60" s="59" t="s">
        <v>302</v>
      </c>
      <c r="C60" s="4" t="s">
        <v>303</v>
      </c>
      <c r="D60" s="5">
        <v>82906.0</v>
      </c>
      <c r="E60" s="6">
        <v>31.0</v>
      </c>
      <c r="F60" s="6">
        <f t="shared" si="1"/>
        <v>2570086</v>
      </c>
      <c r="G60" s="61">
        <f>F60*48.6365%</f>
        <v>1249999.877</v>
      </c>
      <c r="H60" s="6">
        <f t="shared" si="3"/>
        <v>1320086.123</v>
      </c>
      <c r="I60" s="6">
        <v>20000.0</v>
      </c>
    </row>
    <row r="61" ht="15.75" customHeight="1">
      <c r="A61" s="3">
        <v>60.0</v>
      </c>
      <c r="B61" s="4" t="s">
        <v>302</v>
      </c>
      <c r="C61" s="4" t="s">
        <v>308</v>
      </c>
      <c r="D61" s="5">
        <v>82906.0</v>
      </c>
      <c r="E61" s="6">
        <v>31.0</v>
      </c>
      <c r="F61" s="6">
        <f t="shared" si="1"/>
        <v>2570086</v>
      </c>
      <c r="G61" s="6">
        <f>F61*43%</f>
        <v>1105136.98</v>
      </c>
      <c r="H61" s="6">
        <f t="shared" si="3"/>
        <v>1464949.02</v>
      </c>
      <c r="I61" s="6">
        <v>20000.0</v>
      </c>
    </row>
    <row r="62" ht="15.75" customHeight="1">
      <c r="A62" s="3">
        <v>61.0</v>
      </c>
      <c r="B62" s="59" t="s">
        <v>266</v>
      </c>
      <c r="C62" s="4" t="s">
        <v>312</v>
      </c>
      <c r="D62" s="5">
        <v>103334.4</v>
      </c>
      <c r="E62" s="6">
        <v>31.0</v>
      </c>
      <c r="F62" s="6">
        <f t="shared" si="1"/>
        <v>3203366.4</v>
      </c>
      <c r="G62" s="61">
        <f>F62*49.94744%</f>
        <v>1599999.511</v>
      </c>
      <c r="H62" s="6">
        <f t="shared" si="3"/>
        <v>1603366.889</v>
      </c>
      <c r="I62" s="6">
        <v>30000.0</v>
      </c>
    </row>
    <row r="63" ht="15.75" customHeight="1">
      <c r="A63" s="3">
        <v>62.0</v>
      </c>
      <c r="B63" s="4" t="s">
        <v>313</v>
      </c>
      <c r="C63" s="4" t="s">
        <v>314</v>
      </c>
      <c r="D63" s="5">
        <v>157783.7</v>
      </c>
      <c r="E63" s="6">
        <v>31.0</v>
      </c>
      <c r="F63" s="6">
        <f t="shared" si="1"/>
        <v>4891294.7</v>
      </c>
      <c r="G63" s="6">
        <f t="shared" ref="G63:G64" si="15">F63*52%</f>
        <v>2543473.244</v>
      </c>
      <c r="H63" s="6">
        <f t="shared" si="3"/>
        <v>2347821.456</v>
      </c>
      <c r="I63" s="6">
        <v>40000.0</v>
      </c>
    </row>
    <row r="64" ht="15.75" customHeight="1">
      <c r="A64" s="3">
        <v>63.0</v>
      </c>
      <c r="B64" s="4" t="s">
        <v>317</v>
      </c>
      <c r="C64" s="4" t="s">
        <v>318</v>
      </c>
      <c r="D64" s="5">
        <v>143150.1</v>
      </c>
      <c r="E64" s="6">
        <v>31.0</v>
      </c>
      <c r="F64" s="6">
        <f t="shared" si="1"/>
        <v>4437653.1</v>
      </c>
      <c r="G64" s="6">
        <f t="shared" si="15"/>
        <v>2307579.612</v>
      </c>
      <c r="H64" s="6">
        <f t="shared" si="3"/>
        <v>2130073.488</v>
      </c>
      <c r="I64" s="6">
        <v>40000.0</v>
      </c>
    </row>
    <row r="65" ht="15.75" customHeight="1">
      <c r="A65" s="3">
        <v>64.0</v>
      </c>
      <c r="B65" s="4" t="s">
        <v>322</v>
      </c>
      <c r="C65" s="4" t="s">
        <v>323</v>
      </c>
      <c r="D65" s="5">
        <v>113270.4</v>
      </c>
      <c r="E65" s="6">
        <v>31.0</v>
      </c>
      <c r="F65" s="6">
        <f t="shared" si="1"/>
        <v>3511382.4</v>
      </c>
      <c r="G65" s="6">
        <f>F65*50%</f>
        <v>1755691.2</v>
      </c>
      <c r="H65" s="6">
        <f t="shared" si="3"/>
        <v>1755691.2</v>
      </c>
      <c r="I65" s="6">
        <v>40000.0</v>
      </c>
    </row>
    <row r="66" ht="15.75" customHeight="1">
      <c r="A66" s="3">
        <v>65.0</v>
      </c>
      <c r="B66" s="4" t="s">
        <v>325</v>
      </c>
      <c r="C66" s="4" t="s">
        <v>326</v>
      </c>
      <c r="D66" s="5">
        <v>165494.0</v>
      </c>
      <c r="E66" s="6">
        <v>31.0</v>
      </c>
      <c r="F66" s="6">
        <f t="shared" si="1"/>
        <v>5130314</v>
      </c>
      <c r="G66" s="6">
        <f>F66*52%</f>
        <v>2667763.28</v>
      </c>
      <c r="H66" s="6">
        <f t="shared" si="3"/>
        <v>2462550.72</v>
      </c>
      <c r="I66" s="6">
        <v>40000.0</v>
      </c>
    </row>
    <row r="67" ht="15.75" customHeight="1">
      <c r="A67" s="3">
        <v>66.0</v>
      </c>
      <c r="B67" s="4" t="s">
        <v>329</v>
      </c>
      <c r="C67" s="4" t="s">
        <v>330</v>
      </c>
      <c r="D67" s="5">
        <v>169309.4</v>
      </c>
      <c r="E67" s="6">
        <v>31.0</v>
      </c>
      <c r="F67" s="6">
        <f t="shared" si="1"/>
        <v>5248591.4</v>
      </c>
      <c r="G67" s="6">
        <f>F67*50%</f>
        <v>2624295.7</v>
      </c>
      <c r="H67" s="6">
        <f t="shared" si="3"/>
        <v>2624295.7</v>
      </c>
      <c r="I67" s="6">
        <v>50000.0</v>
      </c>
    </row>
    <row r="68" ht="15.75" customHeight="1">
      <c r="A68" s="3">
        <v>67.0</v>
      </c>
      <c r="B68" s="4" t="s">
        <v>331</v>
      </c>
      <c r="C68" s="4" t="s">
        <v>332</v>
      </c>
      <c r="D68" s="5">
        <v>113667.8</v>
      </c>
      <c r="E68" s="6">
        <v>31.0</v>
      </c>
      <c r="F68" s="6">
        <f t="shared" si="1"/>
        <v>3523701.8</v>
      </c>
      <c r="G68" s="6">
        <f>F68*58%</f>
        <v>2043747.044</v>
      </c>
      <c r="H68" s="6">
        <f t="shared" si="3"/>
        <v>1479954.756</v>
      </c>
      <c r="I68" s="6">
        <v>30000.0</v>
      </c>
    </row>
    <row r="69" ht="15.75" customHeight="1">
      <c r="A69" s="3">
        <v>68.0</v>
      </c>
      <c r="B69" s="59" t="s">
        <v>335</v>
      </c>
      <c r="C69" s="4" t="s">
        <v>336</v>
      </c>
      <c r="D69" s="5">
        <v>165335.0</v>
      </c>
      <c r="E69" s="6">
        <v>31.0</v>
      </c>
      <c r="F69" s="6">
        <f t="shared" si="1"/>
        <v>5125385</v>
      </c>
      <c r="G69" s="61">
        <f>F69*50.7279%</f>
        <v>2600000.177</v>
      </c>
      <c r="H69" s="6">
        <f t="shared" si="3"/>
        <v>2525384.823</v>
      </c>
      <c r="I69" s="6">
        <v>40000.0</v>
      </c>
    </row>
    <row r="70" ht="15.75" customHeight="1">
      <c r="A70" s="3">
        <v>69.0</v>
      </c>
      <c r="B70" s="4" t="s">
        <v>335</v>
      </c>
      <c r="C70" s="4" t="s">
        <v>339</v>
      </c>
      <c r="D70" s="5">
        <v>165335.0</v>
      </c>
      <c r="E70" s="6">
        <v>31.0</v>
      </c>
      <c r="F70" s="6">
        <f t="shared" si="1"/>
        <v>5125385</v>
      </c>
      <c r="G70" s="6">
        <f>F70*50%</f>
        <v>2562692.5</v>
      </c>
      <c r="H70" s="6">
        <f t="shared" si="3"/>
        <v>2562692.5</v>
      </c>
      <c r="I70" s="6">
        <v>40000.0</v>
      </c>
    </row>
    <row r="71" ht="15.75" customHeight="1">
      <c r="A71" s="3">
        <v>70.0</v>
      </c>
      <c r="B71" s="4" t="s">
        <v>166</v>
      </c>
      <c r="C71" s="4" t="s">
        <v>255</v>
      </c>
      <c r="D71" s="5">
        <v>76308.5</v>
      </c>
      <c r="E71" s="6">
        <v>31.0</v>
      </c>
      <c r="F71" s="6">
        <f t="shared" si="1"/>
        <v>2365563.5</v>
      </c>
      <c r="G71" s="6">
        <f>F71*61.3%</f>
        <v>1450090.426</v>
      </c>
      <c r="H71" s="6">
        <f t="shared" si="3"/>
        <v>915473.0745</v>
      </c>
      <c r="I71" s="6">
        <v>25000.0</v>
      </c>
    </row>
    <row r="72" ht="15.75" customHeight="1">
      <c r="A72" s="3">
        <v>71.0</v>
      </c>
      <c r="B72" s="4" t="s">
        <v>173</v>
      </c>
      <c r="C72" s="4" t="s">
        <v>345</v>
      </c>
      <c r="D72" s="5">
        <v>179712.0</v>
      </c>
      <c r="E72" s="6">
        <v>31.0</v>
      </c>
      <c r="F72" s="6">
        <f t="shared" si="1"/>
        <v>5571072</v>
      </c>
      <c r="G72" s="6">
        <f>F72*52%</f>
        <v>2896957.44</v>
      </c>
      <c r="H72" s="6">
        <f t="shared" si="3"/>
        <v>2674114.56</v>
      </c>
      <c r="I72" s="6">
        <v>40000.0</v>
      </c>
    </row>
    <row r="73" ht="15.75" customHeight="1">
      <c r="A73" s="3">
        <v>72.0</v>
      </c>
      <c r="B73" s="4" t="s">
        <v>346</v>
      </c>
      <c r="C73" s="167"/>
      <c r="D73" s="5">
        <v>92448.0</v>
      </c>
      <c r="E73" s="78">
        <v>31.0</v>
      </c>
      <c r="F73" s="6">
        <f t="shared" si="1"/>
        <v>2865888</v>
      </c>
      <c r="G73" s="61">
        <f>F73*64.55241%</f>
        <v>1849999.772</v>
      </c>
      <c r="H73" s="6">
        <f t="shared" si="3"/>
        <v>1015888.228</v>
      </c>
      <c r="I73" s="6">
        <v>30000.0</v>
      </c>
    </row>
    <row r="74" ht="15.75" customHeight="1">
      <c r="A74" s="3">
        <v>73.0</v>
      </c>
      <c r="B74" s="4" t="s">
        <v>348</v>
      </c>
      <c r="C74" s="4" t="s">
        <v>332</v>
      </c>
      <c r="D74" s="5">
        <v>130464.0</v>
      </c>
      <c r="E74" s="6">
        <v>31.0</v>
      </c>
      <c r="F74" s="6">
        <f t="shared" si="1"/>
        <v>4044384</v>
      </c>
      <c r="G74" s="6">
        <f>F74*55%</f>
        <v>2224411.2</v>
      </c>
      <c r="H74" s="6">
        <f t="shared" si="3"/>
        <v>1819972.8</v>
      </c>
      <c r="I74" s="6">
        <v>30000.0</v>
      </c>
    </row>
    <row r="75" ht="15.75" customHeight="1">
      <c r="A75" s="3">
        <v>74.0</v>
      </c>
      <c r="B75" s="59" t="s">
        <v>352</v>
      </c>
      <c r="C75" s="170" t="s">
        <v>353</v>
      </c>
      <c r="D75" s="5">
        <v>196732.8</v>
      </c>
      <c r="E75" s="78">
        <v>31.0</v>
      </c>
      <c r="F75" s="6">
        <f t="shared" si="1"/>
        <v>6098716.8</v>
      </c>
      <c r="G75" s="61">
        <f>F75*52.47005%</f>
        <v>3199999.754</v>
      </c>
      <c r="H75" s="6">
        <f t="shared" si="3"/>
        <v>2898717.046</v>
      </c>
      <c r="I75" s="6">
        <v>50000.0</v>
      </c>
      <c r="J75" s="69" t="s">
        <v>356</v>
      </c>
    </row>
    <row r="76" ht="15.75" customHeight="1">
      <c r="A76" s="3">
        <v>75.0</v>
      </c>
      <c r="B76" s="4" t="s">
        <v>213</v>
      </c>
      <c r="C76" s="167"/>
      <c r="D76" s="5">
        <v>101476.8</v>
      </c>
      <c r="E76" s="78">
        <v>31.0</v>
      </c>
      <c r="F76" s="6">
        <f t="shared" si="1"/>
        <v>3145780.8</v>
      </c>
      <c r="G76" s="6">
        <f>F76*54.040622%</f>
        <v>1699999.511</v>
      </c>
      <c r="H76" s="6">
        <f t="shared" si="3"/>
        <v>1445781.289</v>
      </c>
      <c r="I76" s="6">
        <v>30000.0</v>
      </c>
    </row>
    <row r="77" ht="15.75" customHeight="1">
      <c r="A77" s="3">
        <v>76.0</v>
      </c>
      <c r="B77" s="4" t="s">
        <v>359</v>
      </c>
      <c r="C77" s="3"/>
      <c r="D77" s="6">
        <v>81335.0</v>
      </c>
      <c r="E77" s="6">
        <v>31.0</v>
      </c>
      <c r="F77" s="6">
        <f t="shared" si="1"/>
        <v>2521385</v>
      </c>
      <c r="G77" s="6">
        <f t="shared" ref="G77:G78" si="16">F77*52%</f>
        <v>1311120.2</v>
      </c>
      <c r="H77" s="6">
        <f t="shared" si="3"/>
        <v>1210264.8</v>
      </c>
      <c r="I77" s="6">
        <v>30000.0</v>
      </c>
    </row>
    <row r="78" ht="15.75" customHeight="1">
      <c r="A78" s="3">
        <v>77.0</v>
      </c>
      <c r="B78" s="3" t="s">
        <v>270</v>
      </c>
      <c r="C78" s="3"/>
      <c r="D78" s="6">
        <v>201756.0</v>
      </c>
      <c r="E78" s="6">
        <v>31.0</v>
      </c>
      <c r="F78" s="6">
        <f t="shared" si="1"/>
        <v>6254436</v>
      </c>
      <c r="G78" s="6">
        <f t="shared" si="16"/>
        <v>3252306.72</v>
      </c>
      <c r="H78" s="6">
        <f t="shared" si="3"/>
        <v>3002129.28</v>
      </c>
      <c r="I78" s="6">
        <v>50000.0</v>
      </c>
    </row>
    <row r="79" ht="15.75" customHeight="1">
      <c r="A79" s="173">
        <v>78.0</v>
      </c>
      <c r="B79" s="173" t="s">
        <v>123</v>
      </c>
      <c r="C79" s="173"/>
      <c r="D79" s="174">
        <v>208980.0</v>
      </c>
      <c r="E79" s="174">
        <v>31.0</v>
      </c>
      <c r="F79" s="174">
        <f t="shared" si="1"/>
        <v>6478380</v>
      </c>
      <c r="G79" s="174">
        <f>F79*55%</f>
        <v>3563109</v>
      </c>
      <c r="H79" s="174">
        <f t="shared" si="3"/>
        <v>2915271</v>
      </c>
      <c r="I79" s="174">
        <v>50000.0</v>
      </c>
    </row>
    <row r="80" ht="15.75" customHeight="1">
      <c r="A80" s="175">
        <v>79.0</v>
      </c>
      <c r="B80" s="176" t="s">
        <v>367</v>
      </c>
      <c r="C80" s="165" t="s">
        <v>370</v>
      </c>
      <c r="D80" s="177">
        <v>77899.0</v>
      </c>
      <c r="E80" s="178"/>
      <c r="F80" s="178"/>
      <c r="G80" s="178"/>
      <c r="H80" s="178"/>
      <c r="I80" s="178"/>
      <c r="J80" s="92"/>
    </row>
    <row r="81" ht="15.75" customHeight="1">
      <c r="A81" s="175">
        <v>80.0</v>
      </c>
      <c r="B81" s="175" t="s">
        <v>372</v>
      </c>
      <c r="C81" s="165"/>
      <c r="D81" s="177">
        <v>164000.0</v>
      </c>
      <c r="E81" s="177">
        <v>31.0</v>
      </c>
      <c r="F81" s="178">
        <f>D81*E81</f>
        <v>5084000</v>
      </c>
      <c r="G81" s="178">
        <f>F81*60%</f>
        <v>3050400</v>
      </c>
      <c r="H81" s="178">
        <f>F81-G81</f>
        <v>2033600</v>
      </c>
      <c r="I81" s="178">
        <v>50000.0</v>
      </c>
      <c r="J81" s="92"/>
    </row>
    <row r="82" ht="15.75" customHeight="1">
      <c r="D82" s="179"/>
      <c r="E82" s="179"/>
      <c r="F82" s="179"/>
      <c r="G82" s="179"/>
      <c r="H82" s="179"/>
      <c r="I82" s="179"/>
    </row>
    <row r="83" ht="15.75" customHeight="1">
      <c r="B83" s="180" t="s">
        <v>375</v>
      </c>
      <c r="C83" s="180" t="s">
        <v>376</v>
      </c>
      <c r="D83" s="179"/>
      <c r="E83" s="179"/>
      <c r="F83" s="179"/>
      <c r="G83" s="179"/>
      <c r="H83" s="179"/>
      <c r="I83" s="179"/>
    </row>
    <row r="84" ht="15.75" customHeight="1">
      <c r="B84" s="180"/>
      <c r="C84" s="180" t="s">
        <v>377</v>
      </c>
      <c r="D84" s="179"/>
      <c r="E84" s="179"/>
      <c r="F84" s="179"/>
      <c r="G84" s="179"/>
      <c r="H84" s="179"/>
      <c r="I84" s="179"/>
    </row>
    <row r="85" ht="15.75" customHeight="1">
      <c r="D85" s="179"/>
      <c r="E85" s="179"/>
      <c r="F85" s="179"/>
      <c r="G85" s="179"/>
      <c r="H85" s="179"/>
      <c r="I85" s="179"/>
    </row>
    <row r="86" ht="15.75" customHeight="1">
      <c r="D86" s="179"/>
      <c r="E86" s="179"/>
      <c r="F86" s="179"/>
      <c r="G86" s="179"/>
      <c r="H86" s="179"/>
      <c r="I86" s="179"/>
    </row>
    <row r="87" ht="15.75" customHeight="1">
      <c r="D87" s="179"/>
      <c r="E87" s="179"/>
      <c r="F87" s="179"/>
      <c r="G87" s="179"/>
      <c r="H87" s="179"/>
      <c r="I87" s="179"/>
    </row>
    <row r="88" ht="15.75" customHeight="1">
      <c r="D88" s="179"/>
      <c r="E88" s="179"/>
      <c r="F88" s="179"/>
      <c r="G88" s="179"/>
      <c r="H88" s="179"/>
      <c r="I88" s="179"/>
    </row>
    <row r="89" ht="15.75" customHeight="1">
      <c r="D89" s="179"/>
      <c r="E89" s="179"/>
      <c r="F89" s="179"/>
      <c r="G89" s="179"/>
      <c r="H89" s="179"/>
      <c r="I89" s="179"/>
    </row>
    <row r="90" ht="15.75" customHeight="1">
      <c r="D90" s="179"/>
      <c r="E90" s="179"/>
      <c r="F90" s="179"/>
      <c r="G90" s="179"/>
      <c r="H90" s="179"/>
      <c r="I90" s="179"/>
    </row>
    <row r="91" ht="15.75" customHeight="1">
      <c r="D91" s="179"/>
      <c r="E91" s="179"/>
      <c r="F91" s="179"/>
      <c r="G91" s="179"/>
      <c r="H91" s="179"/>
      <c r="I91" s="179"/>
    </row>
    <row r="92" ht="15.75" customHeight="1">
      <c r="D92" s="179"/>
      <c r="E92" s="179"/>
      <c r="F92" s="179"/>
      <c r="G92" s="179"/>
      <c r="H92" s="179"/>
      <c r="I92" s="179"/>
    </row>
    <row r="93" ht="15.75" customHeight="1">
      <c r="D93" s="179"/>
      <c r="E93" s="179"/>
      <c r="F93" s="179"/>
      <c r="G93" s="179"/>
      <c r="H93" s="179"/>
      <c r="I93" s="179"/>
    </row>
    <row r="94" ht="15.75" customHeight="1">
      <c r="D94" s="179"/>
      <c r="E94" s="179"/>
      <c r="F94" s="179"/>
      <c r="G94" s="179"/>
      <c r="H94" s="179"/>
      <c r="I94" s="179"/>
    </row>
    <row r="95" ht="15.75" customHeight="1">
      <c r="D95" s="179"/>
      <c r="E95" s="179"/>
      <c r="F95" s="179"/>
      <c r="G95" s="179"/>
      <c r="H95" s="179"/>
      <c r="I95" s="179"/>
    </row>
    <row r="96" ht="15.75" customHeight="1">
      <c r="D96" s="179"/>
      <c r="E96" s="179"/>
      <c r="F96" s="179"/>
      <c r="G96" s="179"/>
      <c r="H96" s="179"/>
      <c r="I96" s="179"/>
    </row>
    <row r="97" ht="15.75" customHeight="1">
      <c r="D97" s="179"/>
      <c r="E97" s="179"/>
      <c r="F97" s="179"/>
      <c r="G97" s="179"/>
      <c r="H97" s="179"/>
      <c r="I97" s="179"/>
    </row>
    <row r="98" ht="15.75" customHeight="1">
      <c r="D98" s="179"/>
      <c r="E98" s="179"/>
      <c r="F98" s="179"/>
      <c r="G98" s="179"/>
      <c r="H98" s="179"/>
      <c r="I98" s="179"/>
    </row>
    <row r="99" ht="15.75" customHeight="1">
      <c r="D99" s="179"/>
      <c r="E99" s="179"/>
      <c r="F99" s="179"/>
      <c r="G99" s="179"/>
      <c r="H99" s="179"/>
      <c r="I99" s="179"/>
    </row>
    <row r="100" ht="15.75" customHeight="1">
      <c r="D100" s="179"/>
      <c r="E100" s="179"/>
      <c r="F100" s="179"/>
      <c r="G100" s="179"/>
      <c r="H100" s="179"/>
      <c r="I100" s="179"/>
    </row>
    <row r="101" ht="15.75" customHeight="1">
      <c r="D101" s="179"/>
      <c r="E101" s="179"/>
      <c r="F101" s="179"/>
      <c r="G101" s="179"/>
      <c r="H101" s="179"/>
      <c r="I101" s="179"/>
    </row>
    <row r="102" ht="15.75" customHeight="1">
      <c r="D102" s="179"/>
      <c r="E102" s="179"/>
      <c r="F102" s="179"/>
      <c r="G102" s="179"/>
      <c r="H102" s="179"/>
      <c r="I102" s="179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J$8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" t="s">
        <v>11</v>
      </c>
      <c r="B1" s="10" t="s">
        <v>13</v>
      </c>
      <c r="C1" s="10" t="s">
        <v>15</v>
      </c>
      <c r="D1" s="12" t="s">
        <v>16</v>
      </c>
      <c r="E1" s="10" t="s">
        <v>18</v>
      </c>
      <c r="F1" s="12" t="s">
        <v>20</v>
      </c>
      <c r="G1" s="10" t="s">
        <v>21</v>
      </c>
      <c r="H1" s="15" t="s">
        <v>23</v>
      </c>
      <c r="I1" s="18" t="s">
        <v>4</v>
      </c>
      <c r="J1" s="19"/>
      <c r="K1" s="19"/>
      <c r="L1" s="19"/>
      <c r="M1" s="22"/>
    </row>
    <row r="2">
      <c r="A2" s="28"/>
      <c r="B2" s="31"/>
      <c r="C2" s="31"/>
      <c r="D2" s="31"/>
      <c r="E2" s="31"/>
      <c r="F2" s="31"/>
      <c r="G2" s="31"/>
      <c r="H2" s="36" t="s">
        <v>52</v>
      </c>
      <c r="I2" s="31"/>
      <c r="J2" s="40" t="s">
        <v>5</v>
      </c>
      <c r="K2" s="40" t="s">
        <v>57</v>
      </c>
      <c r="L2" s="40" t="s">
        <v>7</v>
      </c>
      <c r="M2" s="44" t="s">
        <v>58</v>
      </c>
    </row>
    <row r="3">
      <c r="A3" s="47">
        <v>1.0</v>
      </c>
      <c r="B3" s="50" t="s">
        <v>67</v>
      </c>
      <c r="C3" s="50" t="s">
        <v>69</v>
      </c>
      <c r="D3" s="50" t="s">
        <v>70</v>
      </c>
      <c r="E3" s="50" t="s">
        <v>73</v>
      </c>
      <c r="F3" s="50" t="s">
        <v>74</v>
      </c>
      <c r="G3" s="56">
        <v>470.0</v>
      </c>
      <c r="H3" s="57">
        <v>247473.6</v>
      </c>
      <c r="I3" s="58">
        <v>31.0</v>
      </c>
      <c r="J3" s="57">
        <f t="shared" ref="J3:J167" si="1">H3*I3</f>
        <v>7671681.6</v>
      </c>
      <c r="K3" s="57">
        <f t="shared" ref="K3:K16" si="2">J3*50%</f>
        <v>3835840.8</v>
      </c>
      <c r="L3" s="57">
        <f t="shared" ref="L3:L167" si="3">J3-K3</f>
        <v>3835840.8</v>
      </c>
      <c r="M3" s="65">
        <v>50000.0</v>
      </c>
    </row>
    <row r="4">
      <c r="A4" s="47">
        <v>2.0</v>
      </c>
      <c r="B4" s="50" t="s">
        <v>67</v>
      </c>
      <c r="C4" s="50" t="s">
        <v>69</v>
      </c>
      <c r="D4" s="50" t="s">
        <v>70</v>
      </c>
      <c r="E4" s="50" t="s">
        <v>88</v>
      </c>
      <c r="F4" s="50" t="s">
        <v>70</v>
      </c>
      <c r="G4" s="56">
        <v>520.0</v>
      </c>
      <c r="H4" s="57">
        <v>269420.8</v>
      </c>
      <c r="I4" s="58">
        <v>31.0</v>
      </c>
      <c r="J4" s="57">
        <f t="shared" si="1"/>
        <v>8352044.8</v>
      </c>
      <c r="K4" s="57">
        <f t="shared" si="2"/>
        <v>4176022.4</v>
      </c>
      <c r="L4" s="57">
        <f t="shared" si="3"/>
        <v>4176022.4</v>
      </c>
      <c r="M4" s="65">
        <v>50000.0</v>
      </c>
    </row>
    <row r="5">
      <c r="A5" s="47">
        <v>3.0</v>
      </c>
      <c r="B5" s="50" t="s">
        <v>67</v>
      </c>
      <c r="C5" s="50" t="s">
        <v>69</v>
      </c>
      <c r="D5" s="50" t="s">
        <v>95</v>
      </c>
      <c r="E5" s="50" t="s">
        <v>96</v>
      </c>
      <c r="F5" s="50" t="s">
        <v>95</v>
      </c>
      <c r="G5" s="56">
        <v>330.0</v>
      </c>
      <c r="H5" s="57">
        <v>177848.0</v>
      </c>
      <c r="I5" s="58">
        <v>31.0</v>
      </c>
      <c r="J5" s="57">
        <f t="shared" si="1"/>
        <v>5513288</v>
      </c>
      <c r="K5" s="57">
        <f t="shared" si="2"/>
        <v>2756644</v>
      </c>
      <c r="L5" s="57">
        <f t="shared" si="3"/>
        <v>2756644</v>
      </c>
      <c r="M5" s="65">
        <v>50000.0</v>
      </c>
    </row>
    <row r="6">
      <c r="A6" s="47">
        <v>4.0</v>
      </c>
      <c r="B6" s="50" t="s">
        <v>67</v>
      </c>
      <c r="C6" s="50" t="s">
        <v>69</v>
      </c>
      <c r="D6" s="50" t="s">
        <v>95</v>
      </c>
      <c r="E6" s="50" t="s">
        <v>103</v>
      </c>
      <c r="F6" s="50" t="s">
        <v>104</v>
      </c>
      <c r="G6" s="56">
        <v>320.0</v>
      </c>
      <c r="H6" s="57">
        <v>181632.0</v>
      </c>
      <c r="I6" s="58">
        <v>31.0</v>
      </c>
      <c r="J6" s="57">
        <f t="shared" si="1"/>
        <v>5630592</v>
      </c>
      <c r="K6" s="57">
        <f t="shared" si="2"/>
        <v>2815296</v>
      </c>
      <c r="L6" s="57">
        <f t="shared" si="3"/>
        <v>2815296</v>
      </c>
      <c r="M6" s="65">
        <v>50000.0</v>
      </c>
    </row>
    <row r="7">
      <c r="A7" s="47">
        <v>5.0</v>
      </c>
      <c r="B7" s="50" t="s">
        <v>67</v>
      </c>
      <c r="C7" s="50" t="s">
        <v>69</v>
      </c>
      <c r="D7" s="50" t="s">
        <v>95</v>
      </c>
      <c r="E7" s="50" t="s">
        <v>111</v>
      </c>
      <c r="F7" s="50" t="s">
        <v>114</v>
      </c>
      <c r="G7" s="56">
        <v>330.0</v>
      </c>
      <c r="H7" s="57">
        <v>186172.8</v>
      </c>
      <c r="I7" s="58">
        <v>31.0</v>
      </c>
      <c r="J7" s="57">
        <f t="shared" si="1"/>
        <v>5771356.8</v>
      </c>
      <c r="K7" s="57">
        <f t="shared" si="2"/>
        <v>2885678.4</v>
      </c>
      <c r="L7" s="57">
        <f t="shared" si="3"/>
        <v>2885678.4</v>
      </c>
      <c r="M7" s="65">
        <v>50000.0</v>
      </c>
    </row>
    <row r="8">
      <c r="A8" s="47">
        <v>6.0</v>
      </c>
      <c r="B8" s="50" t="s">
        <v>67</v>
      </c>
      <c r="C8" s="50" t="s">
        <v>69</v>
      </c>
      <c r="D8" s="50" t="s">
        <v>123</v>
      </c>
      <c r="E8" s="50" t="s">
        <v>124</v>
      </c>
      <c r="F8" s="50" t="s">
        <v>123</v>
      </c>
      <c r="G8" s="56">
        <v>470.0</v>
      </c>
      <c r="H8" s="57">
        <v>247473.6</v>
      </c>
      <c r="I8" s="58">
        <v>31.0</v>
      </c>
      <c r="J8" s="57">
        <f t="shared" si="1"/>
        <v>7671681.6</v>
      </c>
      <c r="K8" s="57">
        <f t="shared" si="2"/>
        <v>3835840.8</v>
      </c>
      <c r="L8" s="57">
        <f t="shared" si="3"/>
        <v>3835840.8</v>
      </c>
      <c r="M8" s="65">
        <v>50000.0</v>
      </c>
    </row>
    <row r="9">
      <c r="A9" s="47">
        <v>7.0</v>
      </c>
      <c r="B9" s="50" t="s">
        <v>67</v>
      </c>
      <c r="C9" s="50" t="s">
        <v>69</v>
      </c>
      <c r="D9" s="50" t="s">
        <v>123</v>
      </c>
      <c r="E9" s="50" t="s">
        <v>133</v>
      </c>
      <c r="F9" s="50" t="s">
        <v>136</v>
      </c>
      <c r="G9" s="56">
        <v>310.0</v>
      </c>
      <c r="H9" s="57">
        <v>177091.2</v>
      </c>
      <c r="I9" s="58">
        <v>31.0</v>
      </c>
      <c r="J9" s="57">
        <f t="shared" si="1"/>
        <v>5489827.2</v>
      </c>
      <c r="K9" s="57">
        <f t="shared" si="2"/>
        <v>2744913.6</v>
      </c>
      <c r="L9" s="57">
        <f t="shared" si="3"/>
        <v>2744913.6</v>
      </c>
      <c r="M9" s="65">
        <v>50000.0</v>
      </c>
    </row>
    <row r="10">
      <c r="A10" s="47">
        <v>8.0</v>
      </c>
      <c r="B10" s="50" t="s">
        <v>67</v>
      </c>
      <c r="C10" s="50" t="s">
        <v>69</v>
      </c>
      <c r="D10" s="50" t="s">
        <v>123</v>
      </c>
      <c r="E10" s="50" t="s">
        <v>144</v>
      </c>
      <c r="F10" s="50" t="s">
        <v>145</v>
      </c>
      <c r="G10" s="56">
        <v>440.0</v>
      </c>
      <c r="H10" s="57">
        <v>234608.0</v>
      </c>
      <c r="I10" s="58">
        <v>31.0</v>
      </c>
      <c r="J10" s="57">
        <f t="shared" si="1"/>
        <v>7272848</v>
      </c>
      <c r="K10" s="57">
        <f t="shared" si="2"/>
        <v>3636424</v>
      </c>
      <c r="L10" s="57">
        <f t="shared" si="3"/>
        <v>3636424</v>
      </c>
      <c r="M10" s="65">
        <v>50000.0</v>
      </c>
    </row>
    <row r="11">
      <c r="A11" s="47">
        <v>9.0</v>
      </c>
      <c r="B11" s="50" t="s">
        <v>67</v>
      </c>
      <c r="C11" s="50" t="s">
        <v>69</v>
      </c>
      <c r="D11" s="50" t="s">
        <v>123</v>
      </c>
      <c r="E11" s="50" t="s">
        <v>152</v>
      </c>
      <c r="F11" s="50" t="s">
        <v>153</v>
      </c>
      <c r="G11" s="56">
        <v>490.0</v>
      </c>
      <c r="H11" s="57">
        <v>256555.2</v>
      </c>
      <c r="I11" s="58">
        <v>31.0</v>
      </c>
      <c r="J11" s="57">
        <f t="shared" si="1"/>
        <v>7953211.2</v>
      </c>
      <c r="K11" s="57">
        <f t="shared" si="2"/>
        <v>3976605.6</v>
      </c>
      <c r="L11" s="57">
        <f t="shared" si="3"/>
        <v>3976605.6</v>
      </c>
      <c r="M11" s="65">
        <v>50000.0</v>
      </c>
    </row>
    <row r="12">
      <c r="A12" s="47">
        <v>10.0</v>
      </c>
      <c r="B12" s="50" t="s">
        <v>67</v>
      </c>
      <c r="C12" s="50" t="s">
        <v>69</v>
      </c>
      <c r="D12" s="50" t="s">
        <v>123</v>
      </c>
      <c r="E12" s="50" t="s">
        <v>144</v>
      </c>
      <c r="F12" s="50" t="s">
        <v>145</v>
      </c>
      <c r="G12" s="56">
        <v>440.0</v>
      </c>
      <c r="H12" s="57">
        <v>234608.0</v>
      </c>
      <c r="I12" s="58">
        <v>31.0</v>
      </c>
      <c r="J12" s="57">
        <f t="shared" si="1"/>
        <v>7272848</v>
      </c>
      <c r="K12" s="57">
        <f t="shared" si="2"/>
        <v>3636424</v>
      </c>
      <c r="L12" s="57">
        <f t="shared" si="3"/>
        <v>3636424</v>
      </c>
      <c r="M12" s="65">
        <v>50000.0</v>
      </c>
    </row>
    <row r="13">
      <c r="A13" s="47">
        <v>11.0</v>
      </c>
      <c r="B13" s="50" t="s">
        <v>67</v>
      </c>
      <c r="C13" s="50" t="s">
        <v>69</v>
      </c>
      <c r="D13" s="50" t="s">
        <v>173</v>
      </c>
      <c r="E13" s="50" t="s">
        <v>174</v>
      </c>
      <c r="F13" s="50" t="s">
        <v>175</v>
      </c>
      <c r="G13" s="56">
        <v>440.0</v>
      </c>
      <c r="H13" s="57">
        <v>236878.4</v>
      </c>
      <c r="I13" s="58">
        <v>31.0</v>
      </c>
      <c r="J13" s="57">
        <f t="shared" si="1"/>
        <v>7343230.4</v>
      </c>
      <c r="K13" s="57">
        <f t="shared" si="2"/>
        <v>3671615.2</v>
      </c>
      <c r="L13" s="57">
        <f t="shared" si="3"/>
        <v>3671615.2</v>
      </c>
      <c r="M13" s="65">
        <v>50000.0</v>
      </c>
    </row>
    <row r="14">
      <c r="A14" s="47">
        <v>12.0</v>
      </c>
      <c r="B14" s="50" t="s">
        <v>67</v>
      </c>
      <c r="C14" s="50" t="s">
        <v>69</v>
      </c>
      <c r="D14" s="50" t="s">
        <v>173</v>
      </c>
      <c r="E14" s="50" t="s">
        <v>186</v>
      </c>
      <c r="F14" s="50" t="s">
        <v>187</v>
      </c>
      <c r="G14" s="56">
        <v>450.0</v>
      </c>
      <c r="H14" s="57">
        <v>241419.2</v>
      </c>
      <c r="I14" s="58">
        <v>31.0</v>
      </c>
      <c r="J14" s="57">
        <f t="shared" si="1"/>
        <v>7483995.2</v>
      </c>
      <c r="K14" s="57">
        <f t="shared" si="2"/>
        <v>3741997.6</v>
      </c>
      <c r="L14" s="57">
        <f t="shared" si="3"/>
        <v>3741997.6</v>
      </c>
      <c r="M14" s="65">
        <v>50000.0</v>
      </c>
    </row>
    <row r="15">
      <c r="A15" s="47">
        <v>13.0</v>
      </c>
      <c r="B15" s="50" t="s">
        <v>67</v>
      </c>
      <c r="C15" s="50" t="s">
        <v>69</v>
      </c>
      <c r="D15" s="50" t="s">
        <v>105</v>
      </c>
      <c r="E15" s="50" t="s">
        <v>194</v>
      </c>
      <c r="F15" s="50" t="s">
        <v>195</v>
      </c>
      <c r="G15" s="56">
        <v>310.0</v>
      </c>
      <c r="H15" s="57">
        <v>177091.2</v>
      </c>
      <c r="I15" s="58">
        <v>31.0</v>
      </c>
      <c r="J15" s="57">
        <f t="shared" si="1"/>
        <v>5489827.2</v>
      </c>
      <c r="K15" s="57">
        <f t="shared" si="2"/>
        <v>2744913.6</v>
      </c>
      <c r="L15" s="57">
        <f t="shared" si="3"/>
        <v>2744913.6</v>
      </c>
      <c r="M15" s="65">
        <v>50000.0</v>
      </c>
    </row>
    <row r="16">
      <c r="A16" s="47">
        <v>14.0</v>
      </c>
      <c r="B16" s="50" t="s">
        <v>67</v>
      </c>
      <c r="C16" s="50" t="s">
        <v>69</v>
      </c>
      <c r="D16" s="50" t="s">
        <v>204</v>
      </c>
      <c r="E16" s="50" t="s">
        <v>205</v>
      </c>
      <c r="F16" s="50" t="s">
        <v>206</v>
      </c>
      <c r="G16" s="56">
        <v>320.0</v>
      </c>
      <c r="H16" s="57">
        <v>179361.6</v>
      </c>
      <c r="I16" s="58">
        <v>31.0</v>
      </c>
      <c r="J16" s="57">
        <f t="shared" si="1"/>
        <v>5560209.6</v>
      </c>
      <c r="K16" s="57">
        <f t="shared" si="2"/>
        <v>2780104.8</v>
      </c>
      <c r="L16" s="57">
        <f t="shared" si="3"/>
        <v>2780104.8</v>
      </c>
      <c r="M16" s="65">
        <v>50000.0</v>
      </c>
    </row>
    <row r="17">
      <c r="A17" s="47">
        <v>15.0</v>
      </c>
      <c r="B17" s="50" t="s">
        <v>67</v>
      </c>
      <c r="C17" s="50" t="s">
        <v>69</v>
      </c>
      <c r="D17" s="107" t="s">
        <v>213</v>
      </c>
      <c r="E17" s="50" t="s">
        <v>214</v>
      </c>
      <c r="F17" s="50" t="s">
        <v>215</v>
      </c>
      <c r="G17" s="56">
        <v>140.0</v>
      </c>
      <c r="H17" s="57">
        <v>91194.4</v>
      </c>
      <c r="I17" s="58">
        <v>31.0</v>
      </c>
      <c r="J17" s="57">
        <f t="shared" si="1"/>
        <v>2827026.4</v>
      </c>
      <c r="K17" s="57">
        <f>J17*58%</f>
        <v>1639675.312</v>
      </c>
      <c r="L17" s="57">
        <f t="shared" si="3"/>
        <v>1187351.088</v>
      </c>
      <c r="M17" s="65">
        <v>30000.0</v>
      </c>
    </row>
    <row r="18">
      <c r="A18" s="47">
        <v>16.0</v>
      </c>
      <c r="B18" s="50" t="s">
        <v>67</v>
      </c>
      <c r="C18" s="50" t="s">
        <v>69</v>
      </c>
      <c r="D18" s="50" t="s">
        <v>213</v>
      </c>
      <c r="E18" s="50" t="s">
        <v>220</v>
      </c>
      <c r="F18" s="50" t="s">
        <v>222</v>
      </c>
      <c r="G18" s="56">
        <v>140.0</v>
      </c>
      <c r="H18" s="57">
        <v>91194.4</v>
      </c>
      <c r="I18" s="58">
        <v>31.0</v>
      </c>
      <c r="J18" s="57">
        <f t="shared" si="1"/>
        <v>2827026.4</v>
      </c>
      <c r="K18" s="57">
        <f>J18*50%</f>
        <v>1413513.2</v>
      </c>
      <c r="L18" s="57">
        <f t="shared" si="3"/>
        <v>1413513.2</v>
      </c>
      <c r="M18" s="65">
        <v>30000.0</v>
      </c>
    </row>
    <row r="19">
      <c r="A19" s="113">
        <v>17.0</v>
      </c>
      <c r="B19" s="107" t="s">
        <v>67</v>
      </c>
      <c r="C19" s="107" t="s">
        <v>69</v>
      </c>
      <c r="D19" s="107" t="s">
        <v>226</v>
      </c>
      <c r="E19" s="107" t="s">
        <v>228</v>
      </c>
      <c r="F19" s="107" t="s">
        <v>231</v>
      </c>
      <c r="G19" s="116">
        <v>680.0</v>
      </c>
      <c r="H19" s="118">
        <v>350398.4</v>
      </c>
      <c r="I19" s="120">
        <v>28.0</v>
      </c>
      <c r="J19" s="118">
        <f t="shared" si="1"/>
        <v>9811155.2</v>
      </c>
      <c r="K19" s="118">
        <f>J19*55%</f>
        <v>5396135.36</v>
      </c>
      <c r="L19" s="118">
        <f t="shared" si="3"/>
        <v>4415019.84</v>
      </c>
      <c r="M19" s="127">
        <v>100000.0</v>
      </c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>
      <c r="A20" s="47">
        <v>18.0</v>
      </c>
      <c r="B20" s="50" t="s">
        <v>67</v>
      </c>
      <c r="C20" s="50" t="s">
        <v>69</v>
      </c>
      <c r="D20" s="50" t="s">
        <v>226</v>
      </c>
      <c r="E20" s="50" t="s">
        <v>244</v>
      </c>
      <c r="F20" s="50" t="s">
        <v>245</v>
      </c>
      <c r="G20" s="56">
        <v>670.0</v>
      </c>
      <c r="H20" s="57">
        <v>345857.6</v>
      </c>
      <c r="I20" s="58">
        <v>31.0</v>
      </c>
      <c r="J20" s="57">
        <f t="shared" si="1"/>
        <v>10721585.6</v>
      </c>
      <c r="K20" s="57">
        <f>J20*60%</f>
        <v>6432951.36</v>
      </c>
      <c r="L20" s="57">
        <f t="shared" si="3"/>
        <v>4288634.24</v>
      </c>
      <c r="M20" s="65">
        <v>100000.0</v>
      </c>
    </row>
    <row r="21">
      <c r="A21" s="47">
        <v>19.0</v>
      </c>
      <c r="B21" s="50" t="s">
        <v>67</v>
      </c>
      <c r="C21" s="50" t="s">
        <v>69</v>
      </c>
      <c r="D21" s="50" t="s">
        <v>162</v>
      </c>
      <c r="E21" s="50" t="s">
        <v>253</v>
      </c>
      <c r="F21" s="50" t="s">
        <v>254</v>
      </c>
      <c r="G21" s="56">
        <v>300.0</v>
      </c>
      <c r="H21" s="57">
        <v>172550.4</v>
      </c>
      <c r="I21" s="58">
        <v>31.0</v>
      </c>
      <c r="J21" s="57">
        <f t="shared" si="1"/>
        <v>5349062.4</v>
      </c>
      <c r="K21" s="57">
        <f t="shared" ref="K21:K31" si="4">J21*50%</f>
        <v>2674531.2</v>
      </c>
      <c r="L21" s="57">
        <f t="shared" si="3"/>
        <v>2674531.2</v>
      </c>
      <c r="M21" s="65">
        <v>50000.0</v>
      </c>
    </row>
    <row r="22">
      <c r="A22" s="47">
        <v>20.0</v>
      </c>
      <c r="B22" s="50" t="s">
        <v>67</v>
      </c>
      <c r="C22" s="50" t="s">
        <v>69</v>
      </c>
      <c r="D22" s="50" t="s">
        <v>162</v>
      </c>
      <c r="E22" s="50" t="s">
        <v>258</v>
      </c>
      <c r="F22" s="50" t="s">
        <v>162</v>
      </c>
      <c r="G22" s="56">
        <v>300.0</v>
      </c>
      <c r="H22" s="57">
        <v>172550.4</v>
      </c>
      <c r="I22" s="58">
        <v>31.0</v>
      </c>
      <c r="J22" s="57">
        <f t="shared" si="1"/>
        <v>5349062.4</v>
      </c>
      <c r="K22" s="57">
        <f t="shared" si="4"/>
        <v>2674531.2</v>
      </c>
      <c r="L22" s="57">
        <f t="shared" si="3"/>
        <v>2674531.2</v>
      </c>
      <c r="M22" s="65">
        <v>50000.0</v>
      </c>
    </row>
    <row r="23">
      <c r="A23" s="47">
        <v>21.0</v>
      </c>
      <c r="B23" s="50" t="s">
        <v>67</v>
      </c>
      <c r="C23" s="50" t="s">
        <v>69</v>
      </c>
      <c r="D23" s="50" t="s">
        <v>162</v>
      </c>
      <c r="E23" s="50" t="s">
        <v>261</v>
      </c>
      <c r="F23" s="50" t="s">
        <v>262</v>
      </c>
      <c r="G23" s="56">
        <v>300.0</v>
      </c>
      <c r="H23" s="57">
        <v>172550.4</v>
      </c>
      <c r="I23" s="58">
        <v>31.0</v>
      </c>
      <c r="J23" s="57">
        <f t="shared" si="1"/>
        <v>5349062.4</v>
      </c>
      <c r="K23" s="57">
        <f t="shared" si="4"/>
        <v>2674531.2</v>
      </c>
      <c r="L23" s="57">
        <f t="shared" si="3"/>
        <v>2674531.2</v>
      </c>
      <c r="M23" s="65">
        <v>50000.0</v>
      </c>
    </row>
    <row r="24">
      <c r="A24" s="47">
        <v>22.0</v>
      </c>
      <c r="B24" s="50" t="s">
        <v>67</v>
      </c>
      <c r="C24" s="50" t="s">
        <v>69</v>
      </c>
      <c r="D24" s="50" t="s">
        <v>270</v>
      </c>
      <c r="E24" s="50" t="s">
        <v>271</v>
      </c>
      <c r="F24" s="50" t="s">
        <v>270</v>
      </c>
      <c r="G24" s="56">
        <v>400.0</v>
      </c>
      <c r="H24" s="57">
        <v>217201.6</v>
      </c>
      <c r="I24" s="58">
        <v>31.0</v>
      </c>
      <c r="J24" s="57">
        <f t="shared" si="1"/>
        <v>6733249.6</v>
      </c>
      <c r="K24" s="57">
        <f t="shared" si="4"/>
        <v>3366624.8</v>
      </c>
      <c r="L24" s="57">
        <f t="shared" si="3"/>
        <v>3366624.8</v>
      </c>
      <c r="M24" s="65">
        <v>50000.0</v>
      </c>
    </row>
    <row r="25">
      <c r="A25" s="47">
        <v>23.0</v>
      </c>
      <c r="B25" s="50" t="s">
        <v>67</v>
      </c>
      <c r="C25" s="50" t="s">
        <v>69</v>
      </c>
      <c r="D25" s="50" t="s">
        <v>272</v>
      </c>
      <c r="E25" s="50" t="s">
        <v>273</v>
      </c>
      <c r="F25" s="50" t="s">
        <v>272</v>
      </c>
      <c r="G25" s="56">
        <v>540.0</v>
      </c>
      <c r="H25" s="57">
        <v>278502.4</v>
      </c>
      <c r="I25" s="58">
        <v>31.0</v>
      </c>
      <c r="J25" s="57">
        <f t="shared" si="1"/>
        <v>8633574.4</v>
      </c>
      <c r="K25" s="57">
        <f t="shared" si="4"/>
        <v>4316787.2</v>
      </c>
      <c r="L25" s="57">
        <f t="shared" si="3"/>
        <v>4316787.2</v>
      </c>
      <c r="M25" s="65">
        <v>100000.0</v>
      </c>
    </row>
    <row r="26">
      <c r="A26" s="47">
        <v>24.0</v>
      </c>
      <c r="B26" s="50" t="s">
        <v>67</v>
      </c>
      <c r="C26" s="50" t="s">
        <v>69</v>
      </c>
      <c r="D26" s="50" t="s">
        <v>278</v>
      </c>
      <c r="E26" s="50" t="s">
        <v>279</v>
      </c>
      <c r="F26" s="50" t="s">
        <v>278</v>
      </c>
      <c r="G26" s="56">
        <v>450.0</v>
      </c>
      <c r="H26" s="57">
        <v>239148.8</v>
      </c>
      <c r="I26" s="58">
        <v>31.0</v>
      </c>
      <c r="J26" s="57">
        <f t="shared" si="1"/>
        <v>7413612.8</v>
      </c>
      <c r="K26" s="57">
        <f t="shared" si="4"/>
        <v>3706806.4</v>
      </c>
      <c r="L26" s="57">
        <f t="shared" si="3"/>
        <v>3706806.4</v>
      </c>
      <c r="M26" s="65">
        <v>100000.0</v>
      </c>
    </row>
    <row r="27">
      <c r="A27" s="47">
        <v>25.0</v>
      </c>
      <c r="B27" s="50" t="s">
        <v>67</v>
      </c>
      <c r="C27" s="50" t="s">
        <v>69</v>
      </c>
      <c r="D27" s="50" t="s">
        <v>278</v>
      </c>
      <c r="E27" s="50" t="s">
        <v>283</v>
      </c>
      <c r="F27" s="50" t="s">
        <v>284</v>
      </c>
      <c r="G27" s="56">
        <v>450.0</v>
      </c>
      <c r="H27" s="57">
        <v>239148.8</v>
      </c>
      <c r="I27" s="58">
        <v>31.0</v>
      </c>
      <c r="J27" s="57">
        <f t="shared" si="1"/>
        <v>7413612.8</v>
      </c>
      <c r="K27" s="57">
        <f t="shared" si="4"/>
        <v>3706806.4</v>
      </c>
      <c r="L27" s="57">
        <f t="shared" si="3"/>
        <v>3706806.4</v>
      </c>
      <c r="M27" s="65">
        <v>100000.0</v>
      </c>
    </row>
    <row r="28">
      <c r="A28" s="47">
        <v>26.0</v>
      </c>
      <c r="B28" s="50" t="s">
        <v>67</v>
      </c>
      <c r="C28" s="50" t="s">
        <v>69</v>
      </c>
      <c r="D28" s="50" t="s">
        <v>278</v>
      </c>
      <c r="E28" s="50" t="s">
        <v>292</v>
      </c>
      <c r="F28" s="50" t="s">
        <v>293</v>
      </c>
      <c r="G28" s="56">
        <v>430.0</v>
      </c>
      <c r="H28" s="57">
        <v>230067.2</v>
      </c>
      <c r="I28" s="58">
        <v>31.0</v>
      </c>
      <c r="J28" s="57">
        <f t="shared" si="1"/>
        <v>7132083.2</v>
      </c>
      <c r="K28" s="57">
        <f t="shared" si="4"/>
        <v>3566041.6</v>
      </c>
      <c r="L28" s="57">
        <f t="shared" si="3"/>
        <v>3566041.6</v>
      </c>
      <c r="M28" s="65">
        <v>100000.0</v>
      </c>
    </row>
    <row r="29">
      <c r="A29" s="47">
        <v>27.0</v>
      </c>
      <c r="B29" s="50" t="s">
        <v>67</v>
      </c>
      <c r="C29" s="50" t="s">
        <v>69</v>
      </c>
      <c r="D29" s="50" t="s">
        <v>297</v>
      </c>
      <c r="E29" s="50" t="s">
        <v>298</v>
      </c>
      <c r="F29" s="50" t="s">
        <v>297</v>
      </c>
      <c r="G29" s="56">
        <v>760.0</v>
      </c>
      <c r="H29" s="57">
        <v>386810.8</v>
      </c>
      <c r="I29" s="58">
        <v>31.0</v>
      </c>
      <c r="J29" s="57">
        <f t="shared" si="1"/>
        <v>11991134.8</v>
      </c>
      <c r="K29" s="57">
        <f t="shared" si="4"/>
        <v>5995567.4</v>
      </c>
      <c r="L29" s="57">
        <f t="shared" si="3"/>
        <v>5995567.4</v>
      </c>
      <c r="M29" s="65">
        <v>100000.0</v>
      </c>
    </row>
    <row r="30">
      <c r="A30" s="47">
        <v>28.0</v>
      </c>
      <c r="B30" s="50" t="s">
        <v>67</v>
      </c>
      <c r="C30" s="50" t="s">
        <v>69</v>
      </c>
      <c r="D30" s="50" t="s">
        <v>304</v>
      </c>
      <c r="E30" s="50" t="s">
        <v>306</v>
      </c>
      <c r="F30" s="50" t="s">
        <v>304</v>
      </c>
      <c r="G30" s="56">
        <v>440.0</v>
      </c>
      <c r="H30" s="57">
        <v>234608.0</v>
      </c>
      <c r="I30" s="58">
        <v>31.0</v>
      </c>
      <c r="J30" s="57">
        <f t="shared" si="1"/>
        <v>7272848</v>
      </c>
      <c r="K30" s="57">
        <f t="shared" si="4"/>
        <v>3636424</v>
      </c>
      <c r="L30" s="57">
        <f t="shared" si="3"/>
        <v>3636424</v>
      </c>
      <c r="M30" s="65">
        <v>100000.0</v>
      </c>
    </row>
    <row r="31">
      <c r="A31" s="47">
        <v>29.0</v>
      </c>
      <c r="B31" s="50" t="s">
        <v>67</v>
      </c>
      <c r="C31" s="50" t="s">
        <v>69</v>
      </c>
      <c r="D31" s="50" t="s">
        <v>304</v>
      </c>
      <c r="E31" s="50" t="s">
        <v>310</v>
      </c>
      <c r="F31" s="50" t="s">
        <v>311</v>
      </c>
      <c r="G31" s="56">
        <v>430.0</v>
      </c>
      <c r="H31" s="57">
        <v>230067.2</v>
      </c>
      <c r="I31" s="58">
        <v>31.0</v>
      </c>
      <c r="J31" s="57">
        <f t="shared" si="1"/>
        <v>7132083.2</v>
      </c>
      <c r="K31" s="57">
        <f t="shared" si="4"/>
        <v>3566041.6</v>
      </c>
      <c r="L31" s="57">
        <f t="shared" si="3"/>
        <v>3566041.6</v>
      </c>
      <c r="M31" s="65">
        <v>100000.0</v>
      </c>
    </row>
    <row r="32">
      <c r="A32" s="47">
        <v>30.0</v>
      </c>
      <c r="B32" s="50" t="s">
        <v>67</v>
      </c>
      <c r="C32" s="50" t="s">
        <v>69</v>
      </c>
      <c r="D32" s="107" t="s">
        <v>47</v>
      </c>
      <c r="E32" s="107" t="s">
        <v>315</v>
      </c>
      <c r="F32" s="107" t="s">
        <v>316</v>
      </c>
      <c r="G32" s="56">
        <v>180.0</v>
      </c>
      <c r="H32" s="160">
        <v>110246.4</v>
      </c>
      <c r="I32" s="58">
        <v>31.0</v>
      </c>
      <c r="J32" s="57">
        <f t="shared" si="1"/>
        <v>3417638.4</v>
      </c>
      <c r="K32" s="57">
        <f>J32*52.6679475%</f>
        <v>1799999.998</v>
      </c>
      <c r="L32" s="57">
        <f t="shared" si="3"/>
        <v>1617638.402</v>
      </c>
      <c r="M32" s="65">
        <v>50000.0</v>
      </c>
      <c r="N32" s="118">
        <v>109736.0</v>
      </c>
      <c r="O32" s="69" t="s">
        <v>324</v>
      </c>
    </row>
    <row r="33">
      <c r="A33" s="47">
        <v>31.0</v>
      </c>
      <c r="B33" s="50" t="s">
        <v>67</v>
      </c>
      <c r="C33" s="50" t="s">
        <v>69</v>
      </c>
      <c r="D33" s="107" t="s">
        <v>47</v>
      </c>
      <c r="E33" s="107" t="s">
        <v>327</v>
      </c>
      <c r="F33" s="107" t="s">
        <v>328</v>
      </c>
      <c r="G33" s="56">
        <v>200.0</v>
      </c>
      <c r="H33" s="160">
        <v>119370.2</v>
      </c>
      <c r="I33" s="58">
        <v>31.0</v>
      </c>
      <c r="J33" s="57">
        <f t="shared" si="1"/>
        <v>3700476.2</v>
      </c>
      <c r="K33" s="57">
        <f>J33*51.3447431%</f>
        <v>1899999.998</v>
      </c>
      <c r="L33" s="57">
        <f t="shared" si="3"/>
        <v>1800476.202</v>
      </c>
      <c r="M33" s="65">
        <v>50000.0</v>
      </c>
      <c r="N33" s="118">
        <v>118817.6</v>
      </c>
    </row>
    <row r="34">
      <c r="A34" s="47">
        <v>32.0</v>
      </c>
      <c r="B34" s="50" t="s">
        <v>67</v>
      </c>
      <c r="C34" s="50" t="s">
        <v>69</v>
      </c>
      <c r="D34" s="50" t="s">
        <v>47</v>
      </c>
      <c r="E34" s="50" t="s">
        <v>333</v>
      </c>
      <c r="F34" s="50" t="s">
        <v>334</v>
      </c>
      <c r="G34" s="56">
        <v>210.0</v>
      </c>
      <c r="H34" s="57">
        <v>122601.6</v>
      </c>
      <c r="I34" s="58">
        <v>31.0</v>
      </c>
      <c r="J34" s="57">
        <f t="shared" si="1"/>
        <v>3800649.6</v>
      </c>
      <c r="K34" s="57">
        <f>J34*50%</f>
        <v>1900324.8</v>
      </c>
      <c r="L34" s="57">
        <f t="shared" si="3"/>
        <v>1900324.8</v>
      </c>
      <c r="M34" s="65">
        <v>50000.0</v>
      </c>
    </row>
    <row r="35">
      <c r="A35" s="113">
        <v>33.0</v>
      </c>
      <c r="B35" s="107" t="s">
        <v>67</v>
      </c>
      <c r="C35" s="107" t="s">
        <v>69</v>
      </c>
      <c r="D35" s="107" t="s">
        <v>166</v>
      </c>
      <c r="E35" s="107" t="s">
        <v>340</v>
      </c>
      <c r="F35" s="107" t="s">
        <v>341</v>
      </c>
      <c r="G35" s="116">
        <v>130.0</v>
      </c>
      <c r="H35" s="118">
        <v>85518.4</v>
      </c>
      <c r="I35" s="120">
        <v>28.0</v>
      </c>
      <c r="J35" s="118">
        <f t="shared" si="1"/>
        <v>2394515.2</v>
      </c>
      <c r="K35" s="118">
        <f>J35*59%</f>
        <v>1412763.968</v>
      </c>
      <c r="L35" s="118">
        <f t="shared" si="3"/>
        <v>981751.232</v>
      </c>
      <c r="M35" s="127">
        <v>35000.0</v>
      </c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>
      <c r="A36" s="47">
        <v>34.0</v>
      </c>
      <c r="B36" s="50" t="s">
        <v>67</v>
      </c>
      <c r="C36" s="50" t="s">
        <v>69</v>
      </c>
      <c r="D36" s="50" t="s">
        <v>166</v>
      </c>
      <c r="E36" s="50" t="s">
        <v>347</v>
      </c>
      <c r="F36" s="50" t="s">
        <v>166</v>
      </c>
      <c r="G36" s="56">
        <v>130.0</v>
      </c>
      <c r="H36" s="57">
        <v>85518.4</v>
      </c>
      <c r="I36" s="58">
        <v>31.0</v>
      </c>
      <c r="J36" s="57">
        <f t="shared" si="1"/>
        <v>2651070.4</v>
      </c>
      <c r="K36" s="57">
        <f t="shared" ref="K36:K45" si="5">J36*50%</f>
        <v>1325535.2</v>
      </c>
      <c r="L36" s="57">
        <f t="shared" si="3"/>
        <v>1325535.2</v>
      </c>
      <c r="M36" s="65">
        <v>35000.0</v>
      </c>
    </row>
    <row r="37">
      <c r="A37" s="47">
        <v>35.0</v>
      </c>
      <c r="B37" s="50" t="s">
        <v>67</v>
      </c>
      <c r="C37" s="50" t="s">
        <v>69</v>
      </c>
      <c r="D37" s="50" t="s">
        <v>166</v>
      </c>
      <c r="E37" s="50" t="s">
        <v>354</v>
      </c>
      <c r="F37" s="50" t="s">
        <v>355</v>
      </c>
      <c r="G37" s="56">
        <v>160.0</v>
      </c>
      <c r="H37" s="57">
        <v>98384.0</v>
      </c>
      <c r="I37" s="58">
        <v>31.0</v>
      </c>
      <c r="J37" s="57">
        <f t="shared" si="1"/>
        <v>3049904</v>
      </c>
      <c r="K37" s="57">
        <f t="shared" si="5"/>
        <v>1524952</v>
      </c>
      <c r="L37" s="57">
        <f t="shared" si="3"/>
        <v>1524952</v>
      </c>
      <c r="M37" s="65">
        <v>35000.0</v>
      </c>
    </row>
    <row r="38">
      <c r="A38" s="47">
        <v>36.0</v>
      </c>
      <c r="B38" s="50" t="s">
        <v>67</v>
      </c>
      <c r="C38" s="50" t="s">
        <v>69</v>
      </c>
      <c r="D38" s="50" t="s">
        <v>166</v>
      </c>
      <c r="E38" s="50" t="s">
        <v>357</v>
      </c>
      <c r="F38" s="50" t="s">
        <v>358</v>
      </c>
      <c r="G38" s="56">
        <v>130.0</v>
      </c>
      <c r="H38" s="57">
        <v>85518.4</v>
      </c>
      <c r="I38" s="58">
        <v>31.0</v>
      </c>
      <c r="J38" s="57">
        <f t="shared" si="1"/>
        <v>2651070.4</v>
      </c>
      <c r="K38" s="57">
        <f t="shared" si="5"/>
        <v>1325535.2</v>
      </c>
      <c r="L38" s="57">
        <f t="shared" si="3"/>
        <v>1325535.2</v>
      </c>
      <c r="M38" s="65">
        <v>35000.0</v>
      </c>
    </row>
    <row r="39">
      <c r="A39" s="47">
        <v>37.0</v>
      </c>
      <c r="B39" s="50" t="s">
        <v>67</v>
      </c>
      <c r="C39" s="50" t="s">
        <v>69</v>
      </c>
      <c r="D39" s="50" t="s">
        <v>166</v>
      </c>
      <c r="E39" s="50" t="s">
        <v>360</v>
      </c>
      <c r="F39" s="50" t="s">
        <v>361</v>
      </c>
      <c r="G39" s="56">
        <v>170.0</v>
      </c>
      <c r="H39" s="57">
        <v>106708.8</v>
      </c>
      <c r="I39" s="58">
        <v>31.0</v>
      </c>
      <c r="J39" s="57">
        <f t="shared" si="1"/>
        <v>3307972.8</v>
      </c>
      <c r="K39" s="57">
        <f t="shared" si="5"/>
        <v>1653986.4</v>
      </c>
      <c r="L39" s="57">
        <f t="shared" si="3"/>
        <v>1653986.4</v>
      </c>
      <c r="M39" s="65">
        <v>35000.0</v>
      </c>
    </row>
    <row r="40">
      <c r="A40" s="47">
        <v>38.0</v>
      </c>
      <c r="B40" s="50" t="s">
        <v>67</v>
      </c>
      <c r="C40" s="50" t="s">
        <v>69</v>
      </c>
      <c r="D40" s="50" t="s">
        <v>166</v>
      </c>
      <c r="E40" s="50" t="s">
        <v>369</v>
      </c>
      <c r="F40" s="50" t="s">
        <v>371</v>
      </c>
      <c r="G40" s="56">
        <v>160.0</v>
      </c>
      <c r="H40" s="57">
        <v>102168.0</v>
      </c>
      <c r="I40" s="58">
        <v>31.0</v>
      </c>
      <c r="J40" s="57">
        <f t="shared" si="1"/>
        <v>3167208</v>
      </c>
      <c r="K40" s="57">
        <f t="shared" si="5"/>
        <v>1583604</v>
      </c>
      <c r="L40" s="57">
        <f t="shared" si="3"/>
        <v>1583604</v>
      </c>
      <c r="M40" s="65">
        <v>35000.0</v>
      </c>
    </row>
    <row r="41">
      <c r="A41" s="47">
        <v>39.0</v>
      </c>
      <c r="B41" s="50" t="s">
        <v>67</v>
      </c>
      <c r="C41" s="50" t="s">
        <v>69</v>
      </c>
      <c r="D41" s="50" t="s">
        <v>373</v>
      </c>
      <c r="E41" s="50" t="s">
        <v>374</v>
      </c>
      <c r="F41" s="50" t="s">
        <v>373</v>
      </c>
      <c r="G41" s="56">
        <v>180.0</v>
      </c>
      <c r="H41" s="57">
        <v>109736.0</v>
      </c>
      <c r="I41" s="58">
        <v>31.0</v>
      </c>
      <c r="J41" s="57">
        <f t="shared" si="1"/>
        <v>3401816</v>
      </c>
      <c r="K41" s="57">
        <f t="shared" si="5"/>
        <v>1700908</v>
      </c>
      <c r="L41" s="57">
        <f t="shared" si="3"/>
        <v>1700908</v>
      </c>
      <c r="M41" s="65">
        <v>35000.0</v>
      </c>
    </row>
    <row r="42">
      <c r="A42" s="47">
        <v>40.0</v>
      </c>
      <c r="B42" s="50" t="s">
        <v>67</v>
      </c>
      <c r="C42" s="50" t="s">
        <v>69</v>
      </c>
      <c r="D42" s="50" t="s">
        <v>373</v>
      </c>
      <c r="E42" s="50" t="s">
        <v>381</v>
      </c>
      <c r="F42" s="50" t="s">
        <v>382</v>
      </c>
      <c r="G42" s="56">
        <v>180.0</v>
      </c>
      <c r="H42" s="57">
        <v>109736.0</v>
      </c>
      <c r="I42" s="58">
        <v>31.0</v>
      </c>
      <c r="J42" s="57">
        <f t="shared" si="1"/>
        <v>3401816</v>
      </c>
      <c r="K42" s="57">
        <f t="shared" si="5"/>
        <v>1700908</v>
      </c>
      <c r="L42" s="57">
        <f t="shared" si="3"/>
        <v>1700908</v>
      </c>
      <c r="M42" s="65">
        <v>35000.0</v>
      </c>
    </row>
    <row r="43">
      <c r="A43" s="47">
        <v>41.0</v>
      </c>
      <c r="B43" s="50" t="s">
        <v>67</v>
      </c>
      <c r="C43" s="50" t="s">
        <v>69</v>
      </c>
      <c r="D43" s="50" t="s">
        <v>373</v>
      </c>
      <c r="E43" s="50" t="s">
        <v>383</v>
      </c>
      <c r="F43" s="50" t="s">
        <v>384</v>
      </c>
      <c r="G43" s="56">
        <v>180.0</v>
      </c>
      <c r="H43" s="57">
        <v>109736.0</v>
      </c>
      <c r="I43" s="58">
        <v>31.0</v>
      </c>
      <c r="J43" s="57">
        <f t="shared" si="1"/>
        <v>3401816</v>
      </c>
      <c r="K43" s="57">
        <f t="shared" si="5"/>
        <v>1700908</v>
      </c>
      <c r="L43" s="57">
        <f t="shared" si="3"/>
        <v>1700908</v>
      </c>
      <c r="M43" s="65">
        <v>35000.0</v>
      </c>
    </row>
    <row r="44">
      <c r="A44" s="47">
        <v>42.0</v>
      </c>
      <c r="B44" s="50" t="s">
        <v>67</v>
      </c>
      <c r="C44" s="50" t="s">
        <v>69</v>
      </c>
      <c r="D44" s="50" t="s">
        <v>250</v>
      </c>
      <c r="E44" s="50" t="s">
        <v>389</v>
      </c>
      <c r="F44" s="50" t="s">
        <v>390</v>
      </c>
      <c r="G44" s="56">
        <v>350.0</v>
      </c>
      <c r="H44" s="57">
        <v>194497.6</v>
      </c>
      <c r="I44" s="58">
        <v>31.0</v>
      </c>
      <c r="J44" s="57">
        <f t="shared" si="1"/>
        <v>6029425.6</v>
      </c>
      <c r="K44" s="57">
        <f t="shared" si="5"/>
        <v>3014712.8</v>
      </c>
      <c r="L44" s="57">
        <f t="shared" si="3"/>
        <v>3014712.8</v>
      </c>
      <c r="M44" s="65">
        <v>50000.0</v>
      </c>
    </row>
    <row r="45">
      <c r="A45" s="47">
        <v>43.0</v>
      </c>
      <c r="B45" s="50" t="s">
        <v>67</v>
      </c>
      <c r="C45" s="50" t="s">
        <v>69</v>
      </c>
      <c r="D45" s="50" t="s">
        <v>391</v>
      </c>
      <c r="E45" s="50" t="s">
        <v>392</v>
      </c>
      <c r="F45" s="50" t="s">
        <v>391</v>
      </c>
      <c r="G45" s="56">
        <v>500.0</v>
      </c>
      <c r="H45" s="57">
        <v>296816.95999999996</v>
      </c>
      <c r="I45" s="58">
        <v>31.0</v>
      </c>
      <c r="J45" s="57">
        <f t="shared" si="1"/>
        <v>9201325.76</v>
      </c>
      <c r="K45" s="57">
        <f t="shared" si="5"/>
        <v>4600662.88</v>
      </c>
      <c r="L45" s="57">
        <f t="shared" si="3"/>
        <v>4600662.88</v>
      </c>
      <c r="M45" s="65">
        <v>100000.0</v>
      </c>
    </row>
    <row r="46">
      <c r="A46" s="113">
        <v>44.0</v>
      </c>
      <c r="B46" s="107" t="s">
        <v>67</v>
      </c>
      <c r="C46" s="107" t="s">
        <v>69</v>
      </c>
      <c r="D46" s="107" t="s">
        <v>393</v>
      </c>
      <c r="E46" s="107" t="s">
        <v>394</v>
      </c>
      <c r="F46" s="107" t="s">
        <v>393</v>
      </c>
      <c r="G46" s="116">
        <v>650.0</v>
      </c>
      <c r="H46" s="118">
        <v>342830.4</v>
      </c>
      <c r="I46" s="120">
        <v>25.0</v>
      </c>
      <c r="J46" s="118">
        <f t="shared" si="1"/>
        <v>8570760</v>
      </c>
      <c r="K46" s="118">
        <f>J46*55%</f>
        <v>4713918</v>
      </c>
      <c r="L46" s="118">
        <f t="shared" si="3"/>
        <v>3856842</v>
      </c>
      <c r="M46" s="127">
        <v>100000.0</v>
      </c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>
      <c r="A47" s="47">
        <v>45.0</v>
      </c>
      <c r="B47" s="50" t="s">
        <v>67</v>
      </c>
      <c r="C47" s="50" t="s">
        <v>69</v>
      </c>
      <c r="D47" s="50" t="s">
        <v>329</v>
      </c>
      <c r="E47" s="50" t="s">
        <v>398</v>
      </c>
      <c r="F47" s="50" t="s">
        <v>399</v>
      </c>
      <c r="G47" s="56">
        <v>310.0</v>
      </c>
      <c r="H47" s="57">
        <v>179361.6</v>
      </c>
      <c r="I47" s="58">
        <v>31.0</v>
      </c>
      <c r="J47" s="57">
        <f t="shared" si="1"/>
        <v>5560209.6</v>
      </c>
      <c r="K47" s="57">
        <f t="shared" ref="K47:K48" si="6">J47*50%</f>
        <v>2780104.8</v>
      </c>
      <c r="L47" s="57">
        <f t="shared" si="3"/>
        <v>2780104.8</v>
      </c>
      <c r="M47" s="65">
        <v>100000.0</v>
      </c>
    </row>
    <row r="48">
      <c r="A48" s="47">
        <v>46.0</v>
      </c>
      <c r="B48" s="50" t="s">
        <v>67</v>
      </c>
      <c r="C48" s="50" t="s">
        <v>69</v>
      </c>
      <c r="D48" s="50" t="s">
        <v>329</v>
      </c>
      <c r="E48" s="50" t="s">
        <v>401</v>
      </c>
      <c r="F48" s="50" t="s">
        <v>329</v>
      </c>
      <c r="G48" s="56">
        <v>310.0</v>
      </c>
      <c r="H48" s="57">
        <v>179361.6</v>
      </c>
      <c r="I48" s="58">
        <v>31.0</v>
      </c>
      <c r="J48" s="57">
        <f t="shared" si="1"/>
        <v>5560209.6</v>
      </c>
      <c r="K48" s="57">
        <f t="shared" si="6"/>
        <v>2780104.8</v>
      </c>
      <c r="L48" s="57">
        <f t="shared" si="3"/>
        <v>2780104.8</v>
      </c>
      <c r="M48" s="65">
        <v>100000.0</v>
      </c>
    </row>
    <row r="49">
      <c r="A49" s="47">
        <v>47.0</v>
      </c>
      <c r="B49" s="50" t="s">
        <v>67</v>
      </c>
      <c r="C49" s="50" t="s">
        <v>69</v>
      </c>
      <c r="D49" s="107" t="s">
        <v>33</v>
      </c>
      <c r="E49" s="107" t="s">
        <v>404</v>
      </c>
      <c r="F49" s="107" t="s">
        <v>33</v>
      </c>
      <c r="G49" s="56">
        <v>190.0</v>
      </c>
      <c r="H49" s="160">
        <v>114808.3</v>
      </c>
      <c r="I49" s="58">
        <v>31.0</v>
      </c>
      <c r="J49" s="57">
        <f t="shared" si="1"/>
        <v>3559057.3</v>
      </c>
      <c r="K49" s="57">
        <f>J49*50.5751901%</f>
        <v>1799999.995</v>
      </c>
      <c r="L49" s="57">
        <f t="shared" si="3"/>
        <v>1759057.305</v>
      </c>
      <c r="M49" s="65">
        <v>50000.0</v>
      </c>
      <c r="N49" s="118">
        <v>114276.8</v>
      </c>
    </row>
    <row r="50">
      <c r="A50" s="47">
        <v>48.0</v>
      </c>
      <c r="B50" s="50" t="s">
        <v>407</v>
      </c>
      <c r="C50" s="50" t="s">
        <v>69</v>
      </c>
      <c r="D50" s="50" t="s">
        <v>408</v>
      </c>
      <c r="E50" s="190"/>
      <c r="F50" s="190"/>
      <c r="G50" s="56">
        <v>10.0</v>
      </c>
      <c r="H50" s="57">
        <v>15968.48</v>
      </c>
      <c r="I50" s="58">
        <v>31.0</v>
      </c>
      <c r="J50" s="57">
        <f t="shared" si="1"/>
        <v>495022.88</v>
      </c>
      <c r="K50" s="57">
        <f t="shared" ref="K50:K54" si="7">J50*50%</f>
        <v>247511.44</v>
      </c>
      <c r="L50" s="57">
        <f t="shared" si="3"/>
        <v>247511.44</v>
      </c>
      <c r="M50" s="191"/>
    </row>
    <row r="51">
      <c r="A51" s="47">
        <v>49.0</v>
      </c>
      <c r="B51" s="50" t="s">
        <v>67</v>
      </c>
      <c r="C51" s="50" t="s">
        <v>409</v>
      </c>
      <c r="D51" s="50" t="s">
        <v>408</v>
      </c>
      <c r="E51" s="190"/>
      <c r="F51" s="190"/>
      <c r="G51" s="56">
        <v>10.0</v>
      </c>
      <c r="H51" s="57">
        <v>14227.84</v>
      </c>
      <c r="I51" s="58">
        <v>31.0</v>
      </c>
      <c r="J51" s="57">
        <f t="shared" si="1"/>
        <v>441063.04</v>
      </c>
      <c r="K51" s="57">
        <f t="shared" si="7"/>
        <v>220531.52</v>
      </c>
      <c r="L51" s="57">
        <f t="shared" si="3"/>
        <v>220531.52</v>
      </c>
      <c r="M51" s="191"/>
    </row>
    <row r="52">
      <c r="A52" s="47">
        <v>50.0</v>
      </c>
      <c r="B52" s="50" t="s">
        <v>412</v>
      </c>
      <c r="C52" s="50" t="s">
        <v>69</v>
      </c>
      <c r="D52" s="50" t="s">
        <v>408</v>
      </c>
      <c r="E52" s="190"/>
      <c r="F52" s="190"/>
      <c r="G52" s="56">
        <v>10.0</v>
      </c>
      <c r="H52" s="57">
        <v>15968.48</v>
      </c>
      <c r="I52" s="58">
        <v>31.0</v>
      </c>
      <c r="J52" s="57">
        <f t="shared" si="1"/>
        <v>495022.88</v>
      </c>
      <c r="K52" s="57">
        <f t="shared" si="7"/>
        <v>247511.44</v>
      </c>
      <c r="L52" s="57">
        <f t="shared" si="3"/>
        <v>247511.44</v>
      </c>
      <c r="M52" s="191"/>
    </row>
    <row r="53">
      <c r="A53" s="47">
        <v>51.0</v>
      </c>
      <c r="B53" s="50" t="s">
        <v>67</v>
      </c>
      <c r="C53" s="50" t="s">
        <v>69</v>
      </c>
      <c r="D53" s="50" t="s">
        <v>266</v>
      </c>
      <c r="E53" s="50" t="s">
        <v>420</v>
      </c>
      <c r="F53" s="50" t="s">
        <v>421</v>
      </c>
      <c r="G53" s="56">
        <v>220.0</v>
      </c>
      <c r="H53" s="57">
        <v>129412.8</v>
      </c>
      <c r="I53" s="58">
        <v>31.0</v>
      </c>
      <c r="J53" s="57">
        <f t="shared" si="1"/>
        <v>4011796.8</v>
      </c>
      <c r="K53" s="57">
        <f t="shared" si="7"/>
        <v>2005898.4</v>
      </c>
      <c r="L53" s="57">
        <f t="shared" si="3"/>
        <v>2005898.4</v>
      </c>
      <c r="M53" s="65">
        <v>50000.0</v>
      </c>
    </row>
    <row r="54">
      <c r="A54" s="47">
        <v>52.0</v>
      </c>
      <c r="B54" s="50" t="s">
        <v>67</v>
      </c>
      <c r="C54" s="50" t="s">
        <v>69</v>
      </c>
      <c r="D54" s="50" t="s">
        <v>266</v>
      </c>
      <c r="E54" s="50" t="s">
        <v>427</v>
      </c>
      <c r="F54" s="50" t="s">
        <v>428</v>
      </c>
      <c r="G54" s="56">
        <v>220.0</v>
      </c>
      <c r="H54" s="57">
        <v>129412.8</v>
      </c>
      <c r="I54" s="58">
        <v>31.0</v>
      </c>
      <c r="J54" s="57">
        <f t="shared" si="1"/>
        <v>4011796.8</v>
      </c>
      <c r="K54" s="57">
        <f t="shared" si="7"/>
        <v>2005898.4</v>
      </c>
      <c r="L54" s="57">
        <f t="shared" si="3"/>
        <v>2005898.4</v>
      </c>
      <c r="M54" s="65">
        <v>50000.0</v>
      </c>
    </row>
    <row r="55">
      <c r="A55" s="47">
        <v>53.0</v>
      </c>
      <c r="B55" s="50" t="s">
        <v>67</v>
      </c>
      <c r="C55" s="50" t="s">
        <v>69</v>
      </c>
      <c r="D55" s="107" t="s">
        <v>142</v>
      </c>
      <c r="E55" s="107" t="s">
        <v>437</v>
      </c>
      <c r="F55" s="107" t="s">
        <v>438</v>
      </c>
      <c r="G55" s="56">
        <v>280.0</v>
      </c>
      <c r="H55" s="160">
        <v>164989.4</v>
      </c>
      <c r="I55" s="58">
        <v>31.0</v>
      </c>
      <c r="J55" s="57">
        <f t="shared" si="1"/>
        <v>5114671.4</v>
      </c>
      <c r="K55" s="57">
        <f>J55*51.8117352%</f>
        <v>2650000.002</v>
      </c>
      <c r="L55" s="57">
        <f t="shared" si="3"/>
        <v>2464671.398</v>
      </c>
      <c r="M55" s="65">
        <v>50000.0</v>
      </c>
    </row>
    <row r="56">
      <c r="A56" s="47">
        <v>54.0</v>
      </c>
      <c r="B56" s="50" t="s">
        <v>67</v>
      </c>
      <c r="C56" s="50" t="s">
        <v>69</v>
      </c>
      <c r="D56" s="50" t="s">
        <v>444</v>
      </c>
      <c r="E56" s="50" t="s">
        <v>445</v>
      </c>
      <c r="F56" s="50" t="s">
        <v>447</v>
      </c>
      <c r="G56" s="56">
        <v>580.0</v>
      </c>
      <c r="H56" s="57">
        <v>346690.08</v>
      </c>
      <c r="I56" s="58">
        <v>31.0</v>
      </c>
      <c r="J56" s="57">
        <f t="shared" si="1"/>
        <v>10747392.48</v>
      </c>
      <c r="K56" s="57">
        <f t="shared" ref="K56:K119" si="8">J56*50%</f>
        <v>5373696.24</v>
      </c>
      <c r="L56" s="57">
        <f t="shared" si="3"/>
        <v>5373696.24</v>
      </c>
      <c r="M56" s="65">
        <v>50000.0</v>
      </c>
    </row>
    <row r="57">
      <c r="A57" s="47">
        <v>55.0</v>
      </c>
      <c r="B57" s="50" t="s">
        <v>67</v>
      </c>
      <c r="C57" s="50" t="s">
        <v>69</v>
      </c>
      <c r="D57" s="50" t="s">
        <v>455</v>
      </c>
      <c r="E57" s="50" t="s">
        <v>456</v>
      </c>
      <c r="F57" s="50" t="s">
        <v>455</v>
      </c>
      <c r="G57" s="56">
        <v>400.0</v>
      </c>
      <c r="H57" s="57">
        <v>217201.6</v>
      </c>
      <c r="I57" s="58">
        <v>31.0</v>
      </c>
      <c r="J57" s="57">
        <f t="shared" si="1"/>
        <v>6733249.6</v>
      </c>
      <c r="K57" s="57">
        <f t="shared" si="8"/>
        <v>3366624.8</v>
      </c>
      <c r="L57" s="57">
        <f t="shared" si="3"/>
        <v>3366624.8</v>
      </c>
      <c r="M57" s="65">
        <v>50000.0</v>
      </c>
    </row>
    <row r="58">
      <c r="A58" s="47">
        <v>56.0</v>
      </c>
      <c r="B58" s="209" t="s">
        <v>67</v>
      </c>
      <c r="C58" s="209" t="s">
        <v>69</v>
      </c>
      <c r="D58" s="209" t="s">
        <v>346</v>
      </c>
      <c r="E58" s="209" t="s">
        <v>460</v>
      </c>
      <c r="F58" s="209" t="s">
        <v>461</v>
      </c>
      <c r="G58" s="210">
        <v>230.0</v>
      </c>
      <c r="H58" s="57">
        <v>137207.84</v>
      </c>
      <c r="I58" s="58">
        <v>31.0</v>
      </c>
      <c r="J58" s="57">
        <f t="shared" si="1"/>
        <v>4253443.04</v>
      </c>
      <c r="K58" s="57">
        <f t="shared" si="8"/>
        <v>2126721.52</v>
      </c>
      <c r="L58" s="57">
        <f t="shared" si="3"/>
        <v>2126721.52</v>
      </c>
      <c r="M58" s="65">
        <v>50000.0</v>
      </c>
    </row>
    <row r="59">
      <c r="A59" s="47">
        <v>57.0</v>
      </c>
      <c r="B59" s="50" t="s">
        <v>67</v>
      </c>
      <c r="C59" s="50" t="s">
        <v>69</v>
      </c>
      <c r="D59" s="50" t="s">
        <v>346</v>
      </c>
      <c r="E59" s="50" t="s">
        <v>464</v>
      </c>
      <c r="F59" s="50" t="s">
        <v>466</v>
      </c>
      <c r="G59" s="56">
        <v>240.0</v>
      </c>
      <c r="H59" s="57">
        <v>143186.56</v>
      </c>
      <c r="I59" s="58">
        <v>31.0</v>
      </c>
      <c r="J59" s="57">
        <f t="shared" si="1"/>
        <v>4438783.36</v>
      </c>
      <c r="K59" s="57">
        <f t="shared" si="8"/>
        <v>2219391.68</v>
      </c>
      <c r="L59" s="57">
        <f t="shared" si="3"/>
        <v>2219391.68</v>
      </c>
      <c r="M59" s="65">
        <v>50000.0</v>
      </c>
    </row>
    <row r="60">
      <c r="A60" s="47">
        <v>58.0</v>
      </c>
      <c r="B60" s="50" t="s">
        <v>67</v>
      </c>
      <c r="C60" s="50" t="s">
        <v>69</v>
      </c>
      <c r="D60" s="50" t="s">
        <v>477</v>
      </c>
      <c r="E60" s="50" t="s">
        <v>478</v>
      </c>
      <c r="F60" s="50" t="s">
        <v>477</v>
      </c>
      <c r="G60" s="56">
        <v>250.0</v>
      </c>
      <c r="H60" s="57">
        <v>145305.6</v>
      </c>
      <c r="I60" s="58">
        <v>31.0</v>
      </c>
      <c r="J60" s="57">
        <f t="shared" si="1"/>
        <v>4504473.6</v>
      </c>
      <c r="K60" s="57">
        <f t="shared" si="8"/>
        <v>2252236.8</v>
      </c>
      <c r="L60" s="57">
        <f t="shared" si="3"/>
        <v>2252236.8</v>
      </c>
      <c r="M60" s="65">
        <v>50000.0</v>
      </c>
    </row>
    <row r="61">
      <c r="A61" s="47">
        <v>59.0</v>
      </c>
      <c r="B61" s="50" t="s">
        <v>67</v>
      </c>
      <c r="C61" s="50" t="s">
        <v>69</v>
      </c>
      <c r="D61" s="50" t="s">
        <v>477</v>
      </c>
      <c r="E61" s="50" t="s">
        <v>485</v>
      </c>
      <c r="F61" s="50" t="s">
        <v>486</v>
      </c>
      <c r="G61" s="56">
        <v>250.0</v>
      </c>
      <c r="H61" s="57">
        <v>148938.24</v>
      </c>
      <c r="I61" s="58">
        <v>31.0</v>
      </c>
      <c r="J61" s="57">
        <f t="shared" si="1"/>
        <v>4617085.44</v>
      </c>
      <c r="K61" s="57">
        <f t="shared" si="8"/>
        <v>2308542.72</v>
      </c>
      <c r="L61" s="57">
        <f t="shared" si="3"/>
        <v>2308542.72</v>
      </c>
      <c r="M61" s="65">
        <v>50000.0</v>
      </c>
    </row>
    <row r="62">
      <c r="A62" s="47">
        <v>60.0</v>
      </c>
      <c r="B62" s="50" t="s">
        <v>67</v>
      </c>
      <c r="C62" s="50" t="s">
        <v>69</v>
      </c>
      <c r="D62" s="50" t="s">
        <v>188</v>
      </c>
      <c r="E62" s="50" t="s">
        <v>492</v>
      </c>
      <c r="F62" s="50" t="s">
        <v>188</v>
      </c>
      <c r="G62" s="56">
        <v>290.0</v>
      </c>
      <c r="H62" s="57">
        <v>168009.6</v>
      </c>
      <c r="I62" s="58">
        <v>31.0</v>
      </c>
      <c r="J62" s="57">
        <f t="shared" si="1"/>
        <v>5208297.6</v>
      </c>
      <c r="K62" s="57">
        <f t="shared" si="8"/>
        <v>2604148.8</v>
      </c>
      <c r="L62" s="57">
        <f t="shared" si="3"/>
        <v>2604148.8</v>
      </c>
      <c r="M62" s="65">
        <v>50000.0</v>
      </c>
    </row>
    <row r="63">
      <c r="A63" s="47">
        <v>61.0</v>
      </c>
      <c r="B63" s="50" t="s">
        <v>67</v>
      </c>
      <c r="C63" s="50" t="s">
        <v>69</v>
      </c>
      <c r="D63" s="50" t="s">
        <v>188</v>
      </c>
      <c r="E63" s="50" t="s">
        <v>494</v>
      </c>
      <c r="F63" s="50" t="s">
        <v>495</v>
      </c>
      <c r="G63" s="56">
        <v>290.0</v>
      </c>
      <c r="H63" s="57">
        <v>172777.44</v>
      </c>
      <c r="I63" s="58">
        <v>31.0</v>
      </c>
      <c r="J63" s="57">
        <f t="shared" si="1"/>
        <v>5356100.64</v>
      </c>
      <c r="K63" s="57">
        <f t="shared" si="8"/>
        <v>2678050.32</v>
      </c>
      <c r="L63" s="57">
        <f t="shared" si="3"/>
        <v>2678050.32</v>
      </c>
      <c r="M63" s="65">
        <v>50000.0</v>
      </c>
    </row>
    <row r="64">
      <c r="A64" s="47">
        <v>62.0</v>
      </c>
      <c r="B64" s="50" t="s">
        <v>67</v>
      </c>
      <c r="C64" s="50" t="s">
        <v>69</v>
      </c>
      <c r="D64" s="50" t="s">
        <v>367</v>
      </c>
      <c r="E64" s="50" t="s">
        <v>499</v>
      </c>
      <c r="F64" s="50" t="s">
        <v>367</v>
      </c>
      <c r="G64" s="56">
        <v>130.0</v>
      </c>
      <c r="H64" s="57">
        <v>85518.4</v>
      </c>
      <c r="I64" s="58">
        <v>31.0</v>
      </c>
      <c r="J64" s="57">
        <f t="shared" si="1"/>
        <v>2651070.4</v>
      </c>
      <c r="K64" s="57">
        <f t="shared" si="8"/>
        <v>1325535.2</v>
      </c>
      <c r="L64" s="57">
        <f t="shared" si="3"/>
        <v>1325535.2</v>
      </c>
      <c r="M64" s="65">
        <v>35000.0</v>
      </c>
    </row>
    <row r="65">
      <c r="A65" s="47">
        <v>63.0</v>
      </c>
      <c r="B65" s="50" t="s">
        <v>67</v>
      </c>
      <c r="C65" s="50" t="s">
        <v>69</v>
      </c>
      <c r="D65" s="50" t="s">
        <v>367</v>
      </c>
      <c r="E65" s="50" t="s">
        <v>502</v>
      </c>
      <c r="F65" s="50" t="s">
        <v>504</v>
      </c>
      <c r="G65" s="56">
        <v>170.0</v>
      </c>
      <c r="H65" s="57">
        <v>105195.2</v>
      </c>
      <c r="I65" s="58">
        <v>31.0</v>
      </c>
      <c r="J65" s="57">
        <f t="shared" si="1"/>
        <v>3261051.2</v>
      </c>
      <c r="K65" s="57">
        <f t="shared" si="8"/>
        <v>1630525.6</v>
      </c>
      <c r="L65" s="57">
        <f t="shared" si="3"/>
        <v>1630525.6</v>
      </c>
      <c r="M65" s="65">
        <v>35000.0</v>
      </c>
    </row>
    <row r="66">
      <c r="A66" s="47">
        <v>64.0</v>
      </c>
      <c r="B66" s="50" t="s">
        <v>67</v>
      </c>
      <c r="C66" s="50" t="s">
        <v>69</v>
      </c>
      <c r="D66" s="50" t="s">
        <v>367</v>
      </c>
      <c r="E66" s="50" t="s">
        <v>510</v>
      </c>
      <c r="F66" s="50" t="s">
        <v>511</v>
      </c>
      <c r="G66" s="56">
        <v>170.0</v>
      </c>
      <c r="H66" s="57">
        <v>105195.2</v>
      </c>
      <c r="I66" s="58">
        <v>31.0</v>
      </c>
      <c r="J66" s="57">
        <f t="shared" si="1"/>
        <v>3261051.2</v>
      </c>
      <c r="K66" s="57">
        <f t="shared" si="8"/>
        <v>1630525.6</v>
      </c>
      <c r="L66" s="57">
        <f t="shared" si="3"/>
        <v>1630525.6</v>
      </c>
      <c r="M66" s="65">
        <v>50000.0</v>
      </c>
    </row>
    <row r="67">
      <c r="A67" s="47">
        <v>65.0</v>
      </c>
      <c r="B67" s="50" t="s">
        <v>67</v>
      </c>
      <c r="C67" s="50" t="s">
        <v>69</v>
      </c>
      <c r="D67" s="50" t="s">
        <v>515</v>
      </c>
      <c r="E67" s="50" t="s">
        <v>516</v>
      </c>
      <c r="F67" s="50" t="s">
        <v>515</v>
      </c>
      <c r="G67" s="56">
        <v>470.0</v>
      </c>
      <c r="H67" s="57">
        <v>247473.6</v>
      </c>
      <c r="I67" s="58">
        <v>31.0</v>
      </c>
      <c r="J67" s="57">
        <f t="shared" si="1"/>
        <v>7671681.6</v>
      </c>
      <c r="K67" s="57">
        <f t="shared" si="8"/>
        <v>3835840.8</v>
      </c>
      <c r="L67" s="57">
        <f t="shared" si="3"/>
        <v>3835840.8</v>
      </c>
      <c r="M67" s="65">
        <v>50000.0</v>
      </c>
    </row>
    <row r="68">
      <c r="A68" s="47">
        <v>66.0</v>
      </c>
      <c r="B68" s="50" t="s">
        <v>67</v>
      </c>
      <c r="C68" s="50" t="s">
        <v>69</v>
      </c>
      <c r="D68" s="50" t="s">
        <v>317</v>
      </c>
      <c r="E68" s="50" t="s">
        <v>521</v>
      </c>
      <c r="F68" s="50" t="s">
        <v>317</v>
      </c>
      <c r="G68" s="56">
        <v>210.0</v>
      </c>
      <c r="H68" s="57">
        <v>125628.8</v>
      </c>
      <c r="I68" s="58">
        <v>31.0</v>
      </c>
      <c r="J68" s="57">
        <f t="shared" si="1"/>
        <v>3894492.8</v>
      </c>
      <c r="K68" s="57">
        <f t="shared" si="8"/>
        <v>1947246.4</v>
      </c>
      <c r="L68" s="57">
        <f t="shared" si="3"/>
        <v>1947246.4</v>
      </c>
      <c r="M68" s="65">
        <v>50000.0</v>
      </c>
    </row>
    <row r="69">
      <c r="A69" s="47">
        <v>67.0</v>
      </c>
      <c r="B69" s="50" t="s">
        <v>67</v>
      </c>
      <c r="C69" s="50" t="s">
        <v>69</v>
      </c>
      <c r="D69" s="50" t="s">
        <v>317</v>
      </c>
      <c r="E69" s="50" t="s">
        <v>522</v>
      </c>
      <c r="F69" s="50" t="s">
        <v>524</v>
      </c>
      <c r="G69" s="56">
        <v>210.0</v>
      </c>
      <c r="H69" s="57">
        <v>125628.8</v>
      </c>
      <c r="I69" s="58">
        <v>31.0</v>
      </c>
      <c r="J69" s="57">
        <f t="shared" si="1"/>
        <v>3894492.8</v>
      </c>
      <c r="K69" s="57">
        <f t="shared" si="8"/>
        <v>1947246.4</v>
      </c>
      <c r="L69" s="57">
        <f t="shared" si="3"/>
        <v>1947246.4</v>
      </c>
      <c r="M69" s="65">
        <v>50000.0</v>
      </c>
    </row>
    <row r="70">
      <c r="A70" s="47">
        <v>68.0</v>
      </c>
      <c r="B70" s="50" t="s">
        <v>67</v>
      </c>
      <c r="C70" s="50" t="s">
        <v>69</v>
      </c>
      <c r="D70" s="50" t="s">
        <v>317</v>
      </c>
      <c r="E70" s="50" t="s">
        <v>532</v>
      </c>
      <c r="F70" s="50" t="s">
        <v>533</v>
      </c>
      <c r="G70" s="56">
        <v>230.0</v>
      </c>
      <c r="H70" s="57">
        <v>134710.4</v>
      </c>
      <c r="I70" s="58">
        <v>31.0</v>
      </c>
      <c r="J70" s="57">
        <f t="shared" si="1"/>
        <v>4176022.4</v>
      </c>
      <c r="K70" s="57">
        <f t="shared" si="8"/>
        <v>2088011.2</v>
      </c>
      <c r="L70" s="57">
        <f t="shared" si="3"/>
        <v>2088011.2</v>
      </c>
      <c r="M70" s="65">
        <v>50000.0</v>
      </c>
    </row>
    <row r="71">
      <c r="A71" s="47">
        <v>69.0</v>
      </c>
      <c r="B71" s="50" t="s">
        <v>67</v>
      </c>
      <c r="C71" s="50" t="s">
        <v>69</v>
      </c>
      <c r="D71" s="50" t="s">
        <v>317</v>
      </c>
      <c r="E71" s="50" t="s">
        <v>538</v>
      </c>
      <c r="F71" s="50" t="s">
        <v>539</v>
      </c>
      <c r="G71" s="56">
        <v>210.0</v>
      </c>
      <c r="H71" s="57">
        <v>125628.8</v>
      </c>
      <c r="I71" s="58">
        <v>31.0</v>
      </c>
      <c r="J71" s="57">
        <f t="shared" si="1"/>
        <v>3894492.8</v>
      </c>
      <c r="K71" s="57">
        <f t="shared" si="8"/>
        <v>1947246.4</v>
      </c>
      <c r="L71" s="57">
        <f t="shared" si="3"/>
        <v>1947246.4</v>
      </c>
      <c r="M71" s="65">
        <v>50000.0</v>
      </c>
    </row>
    <row r="72">
      <c r="A72" s="47">
        <v>70.0</v>
      </c>
      <c r="B72" s="50" t="s">
        <v>67</v>
      </c>
      <c r="C72" s="50" t="s">
        <v>69</v>
      </c>
      <c r="D72" s="107" t="s">
        <v>352</v>
      </c>
      <c r="E72" s="50" t="s">
        <v>544</v>
      </c>
      <c r="F72" s="50" t="s">
        <v>546</v>
      </c>
      <c r="G72" s="56">
        <v>290.0</v>
      </c>
      <c r="H72" s="57">
        <v>168009.6</v>
      </c>
      <c r="I72" s="58">
        <v>31.0</v>
      </c>
      <c r="J72" s="57">
        <f t="shared" si="1"/>
        <v>5208297.6</v>
      </c>
      <c r="K72" s="57">
        <f t="shared" si="8"/>
        <v>2604148.8</v>
      </c>
      <c r="L72" s="57">
        <f t="shared" si="3"/>
        <v>2604148.8</v>
      </c>
      <c r="M72" s="65">
        <v>50000.0</v>
      </c>
    </row>
    <row r="73">
      <c r="A73" s="47">
        <v>71.0</v>
      </c>
      <c r="B73" s="50" t="s">
        <v>67</v>
      </c>
      <c r="C73" s="50" t="s">
        <v>69</v>
      </c>
      <c r="D73" s="107" t="s">
        <v>352</v>
      </c>
      <c r="E73" s="50" t="s">
        <v>552</v>
      </c>
      <c r="F73" s="50" t="s">
        <v>352</v>
      </c>
      <c r="G73" s="56">
        <v>310.0</v>
      </c>
      <c r="H73" s="57">
        <v>177091.2</v>
      </c>
      <c r="I73" s="58">
        <v>31.0</v>
      </c>
      <c r="J73" s="57">
        <f t="shared" si="1"/>
        <v>5489827.2</v>
      </c>
      <c r="K73" s="57">
        <f t="shared" si="8"/>
        <v>2744913.6</v>
      </c>
      <c r="L73" s="57">
        <f t="shared" si="3"/>
        <v>2744913.6</v>
      </c>
      <c r="M73" s="65">
        <v>50000.0</v>
      </c>
    </row>
    <row r="74">
      <c r="A74" s="47">
        <v>72.0</v>
      </c>
      <c r="B74" s="50" t="s">
        <v>67</v>
      </c>
      <c r="C74" s="50" t="s">
        <v>69</v>
      </c>
      <c r="D74" s="107" t="s">
        <v>352</v>
      </c>
      <c r="E74" s="50" t="s">
        <v>558</v>
      </c>
      <c r="F74" s="50" t="s">
        <v>559</v>
      </c>
      <c r="G74" s="56">
        <v>310.0</v>
      </c>
      <c r="H74" s="57">
        <v>177091.2</v>
      </c>
      <c r="I74" s="58">
        <v>31.0</v>
      </c>
      <c r="J74" s="57">
        <f t="shared" si="1"/>
        <v>5489827.2</v>
      </c>
      <c r="K74" s="57">
        <f t="shared" si="8"/>
        <v>2744913.6</v>
      </c>
      <c r="L74" s="57">
        <f t="shared" si="3"/>
        <v>2744913.6</v>
      </c>
      <c r="M74" s="65">
        <v>50000.0</v>
      </c>
    </row>
    <row r="75">
      <c r="A75" s="47">
        <v>73.0</v>
      </c>
      <c r="B75" s="50" t="s">
        <v>67</v>
      </c>
      <c r="C75" s="50" t="s">
        <v>69</v>
      </c>
      <c r="D75" s="50" t="s">
        <v>352</v>
      </c>
      <c r="E75" s="190"/>
      <c r="F75" s="50" t="s">
        <v>566</v>
      </c>
      <c r="G75" s="56">
        <v>310.0</v>
      </c>
      <c r="H75" s="57">
        <v>177091.2</v>
      </c>
      <c r="I75" s="58">
        <v>31.0</v>
      </c>
      <c r="J75" s="57">
        <f t="shared" si="1"/>
        <v>5489827.2</v>
      </c>
      <c r="K75" s="57">
        <f t="shared" si="8"/>
        <v>2744913.6</v>
      </c>
      <c r="L75" s="57">
        <f t="shared" si="3"/>
        <v>2744913.6</v>
      </c>
      <c r="M75" s="65">
        <v>50000.0</v>
      </c>
    </row>
    <row r="76">
      <c r="A76" s="47">
        <v>74.0</v>
      </c>
      <c r="B76" s="50" t="s">
        <v>67</v>
      </c>
      <c r="C76" s="50" t="s">
        <v>69</v>
      </c>
      <c r="D76" s="50" t="s">
        <v>572</v>
      </c>
      <c r="E76" s="50" t="s">
        <v>573</v>
      </c>
      <c r="F76" s="50" t="s">
        <v>574</v>
      </c>
      <c r="G76" s="56">
        <v>200.0</v>
      </c>
      <c r="H76" s="57">
        <v>121088.0</v>
      </c>
      <c r="I76" s="58">
        <v>31.0</v>
      </c>
      <c r="J76" s="57">
        <f t="shared" si="1"/>
        <v>3753728</v>
      </c>
      <c r="K76" s="57">
        <f t="shared" si="8"/>
        <v>1876864</v>
      </c>
      <c r="L76" s="57">
        <f t="shared" si="3"/>
        <v>1876864</v>
      </c>
      <c r="M76" s="65">
        <v>50000.0</v>
      </c>
    </row>
    <row r="77">
      <c r="A77" s="47">
        <v>75.0</v>
      </c>
      <c r="B77" s="50" t="s">
        <v>67</v>
      </c>
      <c r="C77" s="50" t="s">
        <v>69</v>
      </c>
      <c r="D77" s="50" t="s">
        <v>578</v>
      </c>
      <c r="E77" s="50" t="s">
        <v>580</v>
      </c>
      <c r="F77" s="50" t="s">
        <v>578</v>
      </c>
      <c r="G77" s="56">
        <v>490.0</v>
      </c>
      <c r="H77" s="57">
        <v>256555.2</v>
      </c>
      <c r="I77" s="58">
        <v>31.0</v>
      </c>
      <c r="J77" s="57">
        <f t="shared" si="1"/>
        <v>7953211.2</v>
      </c>
      <c r="K77" s="57">
        <f t="shared" si="8"/>
        <v>3976605.6</v>
      </c>
      <c r="L77" s="57">
        <f t="shared" si="3"/>
        <v>3976605.6</v>
      </c>
      <c r="M77" s="65">
        <v>50000.0</v>
      </c>
    </row>
    <row r="78">
      <c r="A78" s="47">
        <v>76.0</v>
      </c>
      <c r="B78" s="50" t="s">
        <v>67</v>
      </c>
      <c r="C78" s="50" t="s">
        <v>69</v>
      </c>
      <c r="D78" s="50" t="s">
        <v>285</v>
      </c>
      <c r="E78" s="50" t="s">
        <v>585</v>
      </c>
      <c r="F78" s="50" t="s">
        <v>285</v>
      </c>
      <c r="G78" s="56">
        <v>250.0</v>
      </c>
      <c r="H78" s="57">
        <v>148938.24</v>
      </c>
      <c r="I78" s="58">
        <v>31.0</v>
      </c>
      <c r="J78" s="57">
        <f t="shared" si="1"/>
        <v>4617085.44</v>
      </c>
      <c r="K78" s="57">
        <f t="shared" si="8"/>
        <v>2308542.72</v>
      </c>
      <c r="L78" s="57">
        <f t="shared" si="3"/>
        <v>2308542.72</v>
      </c>
      <c r="M78" s="65">
        <v>50000.0</v>
      </c>
    </row>
    <row r="79">
      <c r="A79" s="47">
        <v>77.0</v>
      </c>
      <c r="B79" s="50" t="s">
        <v>67</v>
      </c>
      <c r="C79" s="50" t="s">
        <v>69</v>
      </c>
      <c r="D79" s="50" t="s">
        <v>285</v>
      </c>
      <c r="E79" s="50" t="s">
        <v>585</v>
      </c>
      <c r="F79" s="50" t="s">
        <v>285</v>
      </c>
      <c r="G79" s="56">
        <v>250.0</v>
      </c>
      <c r="H79" s="57">
        <v>148938.24</v>
      </c>
      <c r="I79" s="58">
        <v>31.0</v>
      </c>
      <c r="J79" s="57">
        <f t="shared" si="1"/>
        <v>4617085.44</v>
      </c>
      <c r="K79" s="57">
        <f t="shared" si="8"/>
        <v>2308542.72</v>
      </c>
      <c r="L79" s="57">
        <f t="shared" si="3"/>
        <v>2308542.72</v>
      </c>
      <c r="M79" s="65">
        <v>50000.0</v>
      </c>
    </row>
    <row r="80">
      <c r="A80" s="47">
        <v>78.0</v>
      </c>
      <c r="B80" s="50" t="s">
        <v>67</v>
      </c>
      <c r="C80" s="50" t="s">
        <v>69</v>
      </c>
      <c r="D80" s="50" t="s">
        <v>285</v>
      </c>
      <c r="E80" s="50" t="s">
        <v>589</v>
      </c>
      <c r="F80" s="50" t="s">
        <v>591</v>
      </c>
      <c r="G80" s="56">
        <v>280.0</v>
      </c>
      <c r="H80" s="57">
        <v>166496.0</v>
      </c>
      <c r="I80" s="58">
        <v>31.0</v>
      </c>
      <c r="J80" s="57">
        <f t="shared" si="1"/>
        <v>5161376</v>
      </c>
      <c r="K80" s="57">
        <f t="shared" si="8"/>
        <v>2580688</v>
      </c>
      <c r="L80" s="57">
        <f t="shared" si="3"/>
        <v>2580688</v>
      </c>
      <c r="M80" s="65">
        <v>50000.0</v>
      </c>
    </row>
    <row r="81">
      <c r="A81" s="47">
        <v>79.0</v>
      </c>
      <c r="B81" s="50" t="s">
        <v>67</v>
      </c>
      <c r="C81" s="50" t="s">
        <v>69</v>
      </c>
      <c r="D81" s="50" t="s">
        <v>285</v>
      </c>
      <c r="E81" s="50" t="s">
        <v>599</v>
      </c>
      <c r="F81" s="50" t="s">
        <v>600</v>
      </c>
      <c r="G81" s="56">
        <v>280.0</v>
      </c>
      <c r="H81" s="57">
        <v>166496.0</v>
      </c>
      <c r="I81" s="58">
        <v>31.0</v>
      </c>
      <c r="J81" s="57">
        <f t="shared" si="1"/>
        <v>5161376</v>
      </c>
      <c r="K81" s="57">
        <f t="shared" si="8"/>
        <v>2580688</v>
      </c>
      <c r="L81" s="57">
        <f t="shared" si="3"/>
        <v>2580688</v>
      </c>
      <c r="M81" s="65">
        <v>50000.0</v>
      </c>
    </row>
    <row r="82">
      <c r="A82" s="47">
        <v>80.0</v>
      </c>
      <c r="B82" s="50" t="s">
        <v>67</v>
      </c>
      <c r="C82" s="50" t="s">
        <v>69</v>
      </c>
      <c r="D82" s="50" t="s">
        <v>285</v>
      </c>
      <c r="E82" s="50" t="s">
        <v>603</v>
      </c>
      <c r="F82" s="50" t="s">
        <v>604</v>
      </c>
      <c r="G82" s="56">
        <v>230.0</v>
      </c>
      <c r="H82" s="57">
        <v>137207.84</v>
      </c>
      <c r="I82" s="58">
        <v>31.0</v>
      </c>
      <c r="J82" s="57">
        <f t="shared" si="1"/>
        <v>4253443.04</v>
      </c>
      <c r="K82" s="57">
        <f t="shared" si="8"/>
        <v>2126721.52</v>
      </c>
      <c r="L82" s="57">
        <f t="shared" si="3"/>
        <v>2126721.52</v>
      </c>
      <c r="M82" s="65">
        <v>50000.0</v>
      </c>
    </row>
    <row r="83">
      <c r="A83" s="47">
        <v>81.0</v>
      </c>
      <c r="B83" s="50" t="s">
        <v>67</v>
      </c>
      <c r="C83" s="50" t="s">
        <v>69</v>
      </c>
      <c r="D83" s="50" t="s">
        <v>285</v>
      </c>
      <c r="E83" s="50" t="s">
        <v>610</v>
      </c>
      <c r="F83" s="50" t="s">
        <v>611</v>
      </c>
      <c r="G83" s="56">
        <v>240.0</v>
      </c>
      <c r="H83" s="57">
        <v>143186.56</v>
      </c>
      <c r="I83" s="58">
        <v>31.0</v>
      </c>
      <c r="J83" s="57">
        <f t="shared" si="1"/>
        <v>4438783.36</v>
      </c>
      <c r="K83" s="57">
        <f t="shared" si="8"/>
        <v>2219391.68</v>
      </c>
      <c r="L83" s="57">
        <f t="shared" si="3"/>
        <v>2219391.68</v>
      </c>
      <c r="M83" s="65">
        <v>50000.0</v>
      </c>
    </row>
    <row r="84">
      <c r="A84" s="47">
        <v>82.0</v>
      </c>
      <c r="B84" s="50" t="s">
        <v>67</v>
      </c>
      <c r="C84" s="50" t="s">
        <v>69</v>
      </c>
      <c r="D84" s="50" t="s">
        <v>285</v>
      </c>
      <c r="E84" s="50" t="s">
        <v>616</v>
      </c>
      <c r="F84" s="50" t="s">
        <v>617</v>
      </c>
      <c r="G84" s="56">
        <v>250.0</v>
      </c>
      <c r="H84" s="57">
        <v>148938.24</v>
      </c>
      <c r="I84" s="58">
        <v>31.0</v>
      </c>
      <c r="J84" s="57">
        <f t="shared" si="1"/>
        <v>4617085.44</v>
      </c>
      <c r="K84" s="57">
        <f t="shared" si="8"/>
        <v>2308542.72</v>
      </c>
      <c r="L84" s="57">
        <f t="shared" si="3"/>
        <v>2308542.72</v>
      </c>
      <c r="M84" s="65">
        <v>50000.0</v>
      </c>
    </row>
    <row r="85">
      <c r="A85" s="47">
        <v>83.0</v>
      </c>
      <c r="B85" s="50" t="s">
        <v>67</v>
      </c>
      <c r="C85" s="50" t="s">
        <v>69</v>
      </c>
      <c r="D85" s="50" t="s">
        <v>285</v>
      </c>
      <c r="E85" s="50" t="s">
        <v>620</v>
      </c>
      <c r="F85" s="50" t="s">
        <v>621</v>
      </c>
      <c r="G85" s="56">
        <v>280.0</v>
      </c>
      <c r="H85" s="57">
        <v>166496.0</v>
      </c>
      <c r="I85" s="58">
        <v>31.0</v>
      </c>
      <c r="J85" s="57">
        <f t="shared" si="1"/>
        <v>5161376</v>
      </c>
      <c r="K85" s="57">
        <f t="shared" si="8"/>
        <v>2580688</v>
      </c>
      <c r="L85" s="57">
        <f t="shared" si="3"/>
        <v>2580688</v>
      </c>
      <c r="M85" s="65">
        <v>50000.0</v>
      </c>
    </row>
    <row r="86">
      <c r="A86" s="47">
        <v>84.0</v>
      </c>
      <c r="B86" s="50" t="s">
        <v>67</v>
      </c>
      <c r="C86" s="50" t="s">
        <v>69</v>
      </c>
      <c r="D86" s="50" t="s">
        <v>285</v>
      </c>
      <c r="E86" s="50" t="s">
        <v>623</v>
      </c>
      <c r="F86" s="50" t="s">
        <v>624</v>
      </c>
      <c r="G86" s="56">
        <v>280.0</v>
      </c>
      <c r="H86" s="57">
        <v>166496.0</v>
      </c>
      <c r="I86" s="58">
        <v>31.0</v>
      </c>
      <c r="J86" s="57">
        <f t="shared" si="1"/>
        <v>5161376</v>
      </c>
      <c r="K86" s="57">
        <f t="shared" si="8"/>
        <v>2580688</v>
      </c>
      <c r="L86" s="57">
        <f t="shared" si="3"/>
        <v>2580688</v>
      </c>
      <c r="M86" s="65">
        <v>50000.0</v>
      </c>
    </row>
    <row r="87">
      <c r="A87" s="47">
        <v>85.0</v>
      </c>
      <c r="B87" s="50" t="s">
        <v>67</v>
      </c>
      <c r="C87" s="50" t="s">
        <v>69</v>
      </c>
      <c r="D87" s="50" t="s">
        <v>268</v>
      </c>
      <c r="E87" s="50" t="s">
        <v>626</v>
      </c>
      <c r="F87" s="50" t="s">
        <v>268</v>
      </c>
      <c r="G87" s="56">
        <v>190.0</v>
      </c>
      <c r="H87" s="57">
        <v>116547.2</v>
      </c>
      <c r="I87" s="58">
        <v>31.0</v>
      </c>
      <c r="J87" s="57">
        <f t="shared" si="1"/>
        <v>3612963.2</v>
      </c>
      <c r="K87" s="57">
        <f t="shared" si="8"/>
        <v>1806481.6</v>
      </c>
      <c r="L87" s="57">
        <f t="shared" si="3"/>
        <v>1806481.6</v>
      </c>
      <c r="M87" s="65">
        <v>50000.0</v>
      </c>
    </row>
    <row r="88">
      <c r="A88" s="47">
        <v>86.0</v>
      </c>
      <c r="B88" s="50" t="s">
        <v>67</v>
      </c>
      <c r="C88" s="50" t="s">
        <v>69</v>
      </c>
      <c r="D88" s="50" t="s">
        <v>268</v>
      </c>
      <c r="E88" s="50" t="s">
        <v>627</v>
      </c>
      <c r="F88" s="50" t="s">
        <v>628</v>
      </c>
      <c r="G88" s="56">
        <v>190.0</v>
      </c>
      <c r="H88" s="57">
        <v>115260.64</v>
      </c>
      <c r="I88" s="58">
        <v>31.0</v>
      </c>
      <c r="J88" s="57">
        <f t="shared" si="1"/>
        <v>3573079.84</v>
      </c>
      <c r="K88" s="57">
        <f t="shared" si="8"/>
        <v>1786539.92</v>
      </c>
      <c r="L88" s="57">
        <f t="shared" si="3"/>
        <v>1786539.92</v>
      </c>
      <c r="M88" s="65">
        <v>50000.0</v>
      </c>
    </row>
    <row r="89">
      <c r="A89" s="47">
        <v>87.0</v>
      </c>
      <c r="B89" s="50" t="s">
        <v>67</v>
      </c>
      <c r="C89" s="50" t="s">
        <v>69</v>
      </c>
      <c r="D89" s="50" t="s">
        <v>268</v>
      </c>
      <c r="E89" s="50" t="s">
        <v>632</v>
      </c>
      <c r="F89" s="50" t="s">
        <v>633</v>
      </c>
      <c r="G89" s="56">
        <v>190.0</v>
      </c>
      <c r="H89" s="57">
        <v>116547.2</v>
      </c>
      <c r="I89" s="58">
        <v>31.0</v>
      </c>
      <c r="J89" s="57">
        <f t="shared" si="1"/>
        <v>3612963.2</v>
      </c>
      <c r="K89" s="57">
        <f t="shared" si="8"/>
        <v>1806481.6</v>
      </c>
      <c r="L89" s="57">
        <f t="shared" si="3"/>
        <v>1806481.6</v>
      </c>
      <c r="M89" s="65">
        <v>50000.0</v>
      </c>
    </row>
    <row r="90">
      <c r="A90" s="47">
        <v>88.0</v>
      </c>
      <c r="B90" s="50" t="s">
        <v>67</v>
      </c>
      <c r="C90" s="50" t="s">
        <v>69</v>
      </c>
      <c r="D90" s="50" t="s">
        <v>268</v>
      </c>
      <c r="E90" s="50" t="s">
        <v>636</v>
      </c>
      <c r="F90" s="50" t="s">
        <v>638</v>
      </c>
      <c r="G90" s="56">
        <v>210.0</v>
      </c>
      <c r="H90" s="57">
        <v>125628.8</v>
      </c>
      <c r="I90" s="58">
        <v>31.0</v>
      </c>
      <c r="J90" s="57">
        <f t="shared" si="1"/>
        <v>3894492.8</v>
      </c>
      <c r="K90" s="57">
        <f t="shared" si="8"/>
        <v>1947246.4</v>
      </c>
      <c r="L90" s="57">
        <f t="shared" si="3"/>
        <v>1947246.4</v>
      </c>
      <c r="M90" s="65">
        <v>50000.0</v>
      </c>
    </row>
    <row r="91">
      <c r="A91" s="47">
        <v>89.0</v>
      </c>
      <c r="B91" s="50" t="s">
        <v>67</v>
      </c>
      <c r="C91" s="50" t="s">
        <v>69</v>
      </c>
      <c r="D91" s="50" t="s">
        <v>268</v>
      </c>
      <c r="E91" s="50" t="s">
        <v>642</v>
      </c>
      <c r="F91" s="50" t="s">
        <v>643</v>
      </c>
      <c r="G91" s="56">
        <v>190.0</v>
      </c>
      <c r="H91" s="57">
        <v>115260.64</v>
      </c>
      <c r="I91" s="58">
        <v>31.0</v>
      </c>
      <c r="J91" s="57">
        <f t="shared" si="1"/>
        <v>3573079.84</v>
      </c>
      <c r="K91" s="57">
        <f t="shared" si="8"/>
        <v>1786539.92</v>
      </c>
      <c r="L91" s="57">
        <f t="shared" si="3"/>
        <v>1786539.92</v>
      </c>
      <c r="M91" s="65">
        <v>50000.0</v>
      </c>
    </row>
    <row r="92">
      <c r="A92" s="47">
        <v>90.0</v>
      </c>
      <c r="B92" s="50" t="s">
        <v>67</v>
      </c>
      <c r="C92" s="50" t="s">
        <v>69</v>
      </c>
      <c r="D92" s="50" t="s">
        <v>268</v>
      </c>
      <c r="E92" s="50" t="s">
        <v>646</v>
      </c>
      <c r="F92" s="50" t="s">
        <v>647</v>
      </c>
      <c r="G92" s="56">
        <v>190.0</v>
      </c>
      <c r="H92" s="57">
        <v>116547.2</v>
      </c>
      <c r="I92" s="58">
        <v>31.0</v>
      </c>
      <c r="J92" s="57">
        <f t="shared" si="1"/>
        <v>3612963.2</v>
      </c>
      <c r="K92" s="57">
        <f t="shared" si="8"/>
        <v>1806481.6</v>
      </c>
      <c r="L92" s="57">
        <f t="shared" si="3"/>
        <v>1806481.6</v>
      </c>
      <c r="M92" s="65">
        <v>50000.0</v>
      </c>
    </row>
    <row r="93">
      <c r="A93" s="47">
        <v>91.0</v>
      </c>
      <c r="B93" s="50" t="s">
        <v>67</v>
      </c>
      <c r="C93" s="50" t="s">
        <v>69</v>
      </c>
      <c r="D93" s="50" t="s">
        <v>268</v>
      </c>
      <c r="E93" s="50" t="s">
        <v>651</v>
      </c>
      <c r="F93" s="50" t="s">
        <v>652</v>
      </c>
      <c r="G93" s="56">
        <v>200.0</v>
      </c>
      <c r="H93" s="57">
        <v>121088.0</v>
      </c>
      <c r="I93" s="58">
        <v>31.0</v>
      </c>
      <c r="J93" s="57">
        <f t="shared" si="1"/>
        <v>3753728</v>
      </c>
      <c r="K93" s="57">
        <f t="shared" si="8"/>
        <v>1876864</v>
      </c>
      <c r="L93" s="57">
        <f t="shared" si="3"/>
        <v>1876864</v>
      </c>
      <c r="M93" s="65">
        <v>50000.0</v>
      </c>
    </row>
    <row r="94">
      <c r="A94" s="47">
        <v>92.0</v>
      </c>
      <c r="B94" s="50" t="s">
        <v>67</v>
      </c>
      <c r="C94" s="50" t="s">
        <v>69</v>
      </c>
      <c r="D94" s="50" t="s">
        <v>268</v>
      </c>
      <c r="E94" s="50" t="s">
        <v>660</v>
      </c>
      <c r="F94" s="50" t="s">
        <v>662</v>
      </c>
      <c r="G94" s="56">
        <v>210.0</v>
      </c>
      <c r="H94" s="57">
        <v>125628.8</v>
      </c>
      <c r="I94" s="58">
        <v>31.0</v>
      </c>
      <c r="J94" s="57">
        <f t="shared" si="1"/>
        <v>3894492.8</v>
      </c>
      <c r="K94" s="57">
        <f t="shared" si="8"/>
        <v>1947246.4</v>
      </c>
      <c r="L94" s="57">
        <f t="shared" si="3"/>
        <v>1947246.4</v>
      </c>
      <c r="M94" s="65">
        <v>50000.0</v>
      </c>
    </row>
    <row r="95">
      <c r="A95" s="47">
        <v>93.0</v>
      </c>
      <c r="B95" s="50" t="s">
        <v>67</v>
      </c>
      <c r="C95" s="50" t="s">
        <v>69</v>
      </c>
      <c r="D95" s="50" t="s">
        <v>268</v>
      </c>
      <c r="E95" s="50" t="s">
        <v>663</v>
      </c>
      <c r="F95" s="50" t="s">
        <v>664</v>
      </c>
      <c r="G95" s="56">
        <v>190.0</v>
      </c>
      <c r="H95" s="57">
        <v>116547.2</v>
      </c>
      <c r="I95" s="58">
        <v>31.0</v>
      </c>
      <c r="J95" s="57">
        <f t="shared" si="1"/>
        <v>3612963.2</v>
      </c>
      <c r="K95" s="57">
        <f t="shared" si="8"/>
        <v>1806481.6</v>
      </c>
      <c r="L95" s="57">
        <f t="shared" si="3"/>
        <v>1806481.6</v>
      </c>
      <c r="M95" s="65">
        <v>50000.0</v>
      </c>
    </row>
    <row r="96">
      <c r="A96" s="47">
        <v>94.0</v>
      </c>
      <c r="B96" s="50" t="s">
        <v>67</v>
      </c>
      <c r="C96" s="50" t="s">
        <v>69</v>
      </c>
      <c r="D96" s="50" t="s">
        <v>670</v>
      </c>
      <c r="E96" s="50" t="s">
        <v>671</v>
      </c>
      <c r="F96" s="50" t="s">
        <v>672</v>
      </c>
      <c r="G96" s="56">
        <v>240.0</v>
      </c>
      <c r="H96" s="57">
        <v>140008.0</v>
      </c>
      <c r="I96" s="58">
        <v>31.0</v>
      </c>
      <c r="J96" s="57">
        <f t="shared" si="1"/>
        <v>4340248</v>
      </c>
      <c r="K96" s="57">
        <f t="shared" si="8"/>
        <v>2170124</v>
      </c>
      <c r="L96" s="57">
        <f t="shared" si="3"/>
        <v>2170124</v>
      </c>
      <c r="M96" s="65">
        <v>50000.0</v>
      </c>
    </row>
    <row r="97">
      <c r="A97" s="47">
        <v>95.0</v>
      </c>
      <c r="B97" s="209" t="s">
        <v>67</v>
      </c>
      <c r="C97" s="209" t="s">
        <v>69</v>
      </c>
      <c r="D97" s="209" t="s">
        <v>322</v>
      </c>
      <c r="E97" s="209" t="s">
        <v>676</v>
      </c>
      <c r="F97" s="209" t="s">
        <v>678</v>
      </c>
      <c r="G97" s="210">
        <v>200.0</v>
      </c>
      <c r="H97" s="57">
        <v>122374.56</v>
      </c>
      <c r="I97" s="58">
        <v>31.0</v>
      </c>
      <c r="J97" s="57">
        <f t="shared" si="1"/>
        <v>3793611.36</v>
      </c>
      <c r="K97" s="57">
        <f t="shared" si="8"/>
        <v>1896805.68</v>
      </c>
      <c r="L97" s="57">
        <f t="shared" si="3"/>
        <v>1896805.68</v>
      </c>
      <c r="M97" s="65">
        <v>50000.0</v>
      </c>
    </row>
    <row r="98">
      <c r="A98" s="47">
        <v>96.0</v>
      </c>
      <c r="B98" s="50" t="s">
        <v>67</v>
      </c>
      <c r="C98" s="50" t="s">
        <v>69</v>
      </c>
      <c r="D98" s="50" t="s">
        <v>322</v>
      </c>
      <c r="E98" s="50" t="s">
        <v>683</v>
      </c>
      <c r="F98" s="50" t="s">
        <v>322</v>
      </c>
      <c r="G98" s="56">
        <v>200.0</v>
      </c>
      <c r="H98" s="57">
        <v>122374.56</v>
      </c>
      <c r="I98" s="58">
        <v>31.0</v>
      </c>
      <c r="J98" s="57">
        <f t="shared" si="1"/>
        <v>3793611.36</v>
      </c>
      <c r="K98" s="57">
        <f t="shared" si="8"/>
        <v>1896805.68</v>
      </c>
      <c r="L98" s="57">
        <f t="shared" si="3"/>
        <v>1896805.68</v>
      </c>
      <c r="M98" s="65">
        <v>50000.0</v>
      </c>
    </row>
    <row r="99">
      <c r="A99" s="47">
        <v>97.0</v>
      </c>
      <c r="B99" s="50" t="s">
        <v>67</v>
      </c>
      <c r="C99" s="50" t="s">
        <v>69</v>
      </c>
      <c r="D99" s="50" t="s">
        <v>687</v>
      </c>
      <c r="E99" s="50" t="s">
        <v>688</v>
      </c>
      <c r="F99" s="50" t="s">
        <v>687</v>
      </c>
      <c r="G99" s="56">
        <v>380.0</v>
      </c>
      <c r="H99" s="57">
        <v>197524.8</v>
      </c>
      <c r="I99" s="58">
        <v>31.0</v>
      </c>
      <c r="J99" s="57">
        <f t="shared" si="1"/>
        <v>6123268.8</v>
      </c>
      <c r="K99" s="57">
        <f t="shared" si="8"/>
        <v>3061634.4</v>
      </c>
      <c r="L99" s="57">
        <f t="shared" si="3"/>
        <v>3061634.4</v>
      </c>
      <c r="M99" s="65">
        <v>50000.0</v>
      </c>
    </row>
    <row r="100">
      <c r="A100" s="47">
        <v>98.0</v>
      </c>
      <c r="B100" s="50" t="s">
        <v>67</v>
      </c>
      <c r="C100" s="50" t="s">
        <v>69</v>
      </c>
      <c r="D100" s="50" t="s">
        <v>689</v>
      </c>
      <c r="E100" s="50" t="s">
        <v>691</v>
      </c>
      <c r="F100" s="50" t="s">
        <v>689</v>
      </c>
      <c r="G100" s="56">
        <v>250.0</v>
      </c>
      <c r="H100" s="57">
        <v>147576.0</v>
      </c>
      <c r="I100" s="58">
        <v>31.0</v>
      </c>
      <c r="J100" s="57">
        <f t="shared" si="1"/>
        <v>4574856</v>
      </c>
      <c r="K100" s="57">
        <f t="shared" si="8"/>
        <v>2287428</v>
      </c>
      <c r="L100" s="57">
        <f t="shared" si="3"/>
        <v>2287428</v>
      </c>
      <c r="M100" s="65">
        <v>50000.0</v>
      </c>
    </row>
    <row r="101">
      <c r="A101" s="47">
        <v>99.0</v>
      </c>
      <c r="B101" s="50" t="s">
        <v>67</v>
      </c>
      <c r="C101" s="50" t="s">
        <v>69</v>
      </c>
      <c r="D101" s="50" t="s">
        <v>696</v>
      </c>
      <c r="E101" s="50" t="s">
        <v>697</v>
      </c>
      <c r="F101" s="50" t="s">
        <v>696</v>
      </c>
      <c r="G101" s="56">
        <v>550.0</v>
      </c>
      <c r="H101" s="57">
        <v>283043.2</v>
      </c>
      <c r="I101" s="58">
        <v>31.0</v>
      </c>
      <c r="J101" s="57">
        <f t="shared" si="1"/>
        <v>8774339.2</v>
      </c>
      <c r="K101" s="57">
        <f t="shared" si="8"/>
        <v>4387169.6</v>
      </c>
      <c r="L101" s="57">
        <f t="shared" si="3"/>
        <v>4387169.6</v>
      </c>
      <c r="M101" s="65">
        <v>50000.0</v>
      </c>
    </row>
    <row r="102">
      <c r="A102" s="47">
        <v>100.0</v>
      </c>
      <c r="B102" s="50" t="s">
        <v>67</v>
      </c>
      <c r="C102" s="50" t="s">
        <v>69</v>
      </c>
      <c r="D102" s="50" t="s">
        <v>276</v>
      </c>
      <c r="E102" s="50" t="s">
        <v>699</v>
      </c>
      <c r="F102" s="50" t="s">
        <v>700</v>
      </c>
      <c r="G102" s="56">
        <v>180.0</v>
      </c>
      <c r="H102" s="57">
        <v>112611.84</v>
      </c>
      <c r="I102" s="58">
        <v>31.0</v>
      </c>
      <c r="J102" s="57">
        <f t="shared" si="1"/>
        <v>3490967.04</v>
      </c>
      <c r="K102" s="57">
        <f t="shared" si="8"/>
        <v>1745483.52</v>
      </c>
      <c r="L102" s="57">
        <f t="shared" si="3"/>
        <v>1745483.52</v>
      </c>
      <c r="M102" s="65">
        <v>50000.0</v>
      </c>
    </row>
    <row r="103">
      <c r="A103" s="47">
        <v>101.0</v>
      </c>
      <c r="B103" s="50" t="s">
        <v>67</v>
      </c>
      <c r="C103" s="50" t="s">
        <v>69</v>
      </c>
      <c r="D103" s="50" t="s">
        <v>276</v>
      </c>
      <c r="E103" s="50" t="s">
        <v>703</v>
      </c>
      <c r="F103" s="50" t="s">
        <v>704</v>
      </c>
      <c r="G103" s="56">
        <v>190.0</v>
      </c>
      <c r="H103" s="57">
        <v>117531.04</v>
      </c>
      <c r="I103" s="58">
        <v>31.0</v>
      </c>
      <c r="J103" s="57">
        <f t="shared" si="1"/>
        <v>3643462.24</v>
      </c>
      <c r="K103" s="57">
        <f t="shared" si="8"/>
        <v>1821731.12</v>
      </c>
      <c r="L103" s="57">
        <f t="shared" si="3"/>
        <v>1821731.12</v>
      </c>
      <c r="M103" s="65">
        <v>50000.0</v>
      </c>
    </row>
    <row r="104">
      <c r="A104" s="47">
        <v>102.0</v>
      </c>
      <c r="B104" s="50" t="s">
        <v>67</v>
      </c>
      <c r="C104" s="50" t="s">
        <v>69</v>
      </c>
      <c r="D104" s="50" t="s">
        <v>276</v>
      </c>
      <c r="E104" s="50" t="s">
        <v>707</v>
      </c>
      <c r="F104" s="50" t="s">
        <v>709</v>
      </c>
      <c r="G104" s="56">
        <v>210.0</v>
      </c>
      <c r="H104" s="57">
        <v>127142.4</v>
      </c>
      <c r="I104" s="58">
        <v>31.0</v>
      </c>
      <c r="J104" s="57">
        <f t="shared" si="1"/>
        <v>3941414.4</v>
      </c>
      <c r="K104" s="57">
        <f t="shared" si="8"/>
        <v>1970707.2</v>
      </c>
      <c r="L104" s="57">
        <f t="shared" si="3"/>
        <v>1970707.2</v>
      </c>
      <c r="M104" s="65">
        <v>50000.0</v>
      </c>
    </row>
    <row r="105">
      <c r="A105" s="47">
        <v>103.0</v>
      </c>
      <c r="B105" s="50" t="s">
        <v>67</v>
      </c>
      <c r="C105" s="50" t="s">
        <v>69</v>
      </c>
      <c r="D105" s="50" t="s">
        <v>276</v>
      </c>
      <c r="E105" s="50" t="s">
        <v>714</v>
      </c>
      <c r="F105" s="50" t="s">
        <v>715</v>
      </c>
      <c r="G105" s="56">
        <v>220.0</v>
      </c>
      <c r="H105" s="57">
        <v>131683.2</v>
      </c>
      <c r="I105" s="58">
        <v>31.0</v>
      </c>
      <c r="J105" s="57">
        <f t="shared" si="1"/>
        <v>4082179.2</v>
      </c>
      <c r="K105" s="57">
        <f t="shared" si="8"/>
        <v>2041089.6</v>
      </c>
      <c r="L105" s="57">
        <f t="shared" si="3"/>
        <v>2041089.6</v>
      </c>
      <c r="M105" s="65">
        <v>50000.0</v>
      </c>
    </row>
    <row r="106">
      <c r="A106" s="47">
        <v>104.0</v>
      </c>
      <c r="B106" s="50" t="s">
        <v>67</v>
      </c>
      <c r="C106" s="50" t="s">
        <v>69</v>
      </c>
      <c r="D106" s="50" t="s">
        <v>276</v>
      </c>
      <c r="E106" s="50" t="s">
        <v>719</v>
      </c>
      <c r="F106" s="50" t="s">
        <v>720</v>
      </c>
      <c r="G106" s="56">
        <v>230.0</v>
      </c>
      <c r="H106" s="57">
        <v>137207.84</v>
      </c>
      <c r="I106" s="58">
        <v>31.0</v>
      </c>
      <c r="J106" s="57">
        <f t="shared" si="1"/>
        <v>4253443.04</v>
      </c>
      <c r="K106" s="57">
        <f t="shared" si="8"/>
        <v>2126721.52</v>
      </c>
      <c r="L106" s="57">
        <f t="shared" si="3"/>
        <v>2126721.52</v>
      </c>
      <c r="M106" s="65">
        <v>50000.0</v>
      </c>
    </row>
    <row r="107">
      <c r="A107" s="47">
        <v>105.0</v>
      </c>
      <c r="B107" s="50" t="s">
        <v>67</v>
      </c>
      <c r="C107" s="50" t="s">
        <v>69</v>
      </c>
      <c r="D107" s="50" t="s">
        <v>276</v>
      </c>
      <c r="E107" s="50" t="s">
        <v>726</v>
      </c>
      <c r="F107" s="50" t="s">
        <v>276</v>
      </c>
      <c r="G107" s="56">
        <v>190.0</v>
      </c>
      <c r="H107" s="57">
        <v>117531.04</v>
      </c>
      <c r="I107" s="58">
        <v>31.0</v>
      </c>
      <c r="J107" s="57">
        <f t="shared" si="1"/>
        <v>3643462.24</v>
      </c>
      <c r="K107" s="57">
        <f t="shared" si="8"/>
        <v>1821731.12</v>
      </c>
      <c r="L107" s="57">
        <f t="shared" si="3"/>
        <v>1821731.12</v>
      </c>
      <c r="M107" s="65">
        <v>50000.0</v>
      </c>
    </row>
    <row r="108">
      <c r="A108" s="47">
        <v>106.0</v>
      </c>
      <c r="B108" s="50" t="s">
        <v>67</v>
      </c>
      <c r="C108" s="50" t="s">
        <v>69</v>
      </c>
      <c r="D108" s="50" t="s">
        <v>276</v>
      </c>
      <c r="E108" s="50" t="s">
        <v>733</v>
      </c>
      <c r="F108" s="50" t="s">
        <v>41</v>
      </c>
      <c r="G108" s="56">
        <v>210.0</v>
      </c>
      <c r="H108" s="57">
        <v>127142.4</v>
      </c>
      <c r="I108" s="58">
        <v>31.0</v>
      </c>
      <c r="J108" s="57">
        <f t="shared" si="1"/>
        <v>3941414.4</v>
      </c>
      <c r="K108" s="57">
        <f t="shared" si="8"/>
        <v>1970707.2</v>
      </c>
      <c r="L108" s="57">
        <f t="shared" si="3"/>
        <v>1970707.2</v>
      </c>
      <c r="M108" s="65">
        <v>50000.0</v>
      </c>
    </row>
    <row r="109">
      <c r="A109" s="47">
        <v>107.0</v>
      </c>
      <c r="B109" s="50" t="s">
        <v>67</v>
      </c>
      <c r="C109" s="50" t="s">
        <v>69</v>
      </c>
      <c r="D109" s="50" t="s">
        <v>276</v>
      </c>
      <c r="E109" s="50" t="s">
        <v>735</v>
      </c>
      <c r="F109" s="50" t="s">
        <v>736</v>
      </c>
      <c r="G109" s="56">
        <v>180.0</v>
      </c>
      <c r="H109" s="57">
        <v>112611.84</v>
      </c>
      <c r="I109" s="58">
        <v>31.0</v>
      </c>
      <c r="J109" s="57">
        <f t="shared" si="1"/>
        <v>3490967.04</v>
      </c>
      <c r="K109" s="57">
        <f t="shared" si="8"/>
        <v>1745483.52</v>
      </c>
      <c r="L109" s="57">
        <f t="shared" si="3"/>
        <v>1745483.52</v>
      </c>
      <c r="M109" s="65">
        <v>50000.0</v>
      </c>
    </row>
    <row r="110">
      <c r="A110" s="47">
        <v>108.0</v>
      </c>
      <c r="B110" s="50" t="s">
        <v>67</v>
      </c>
      <c r="C110" s="50" t="s">
        <v>69</v>
      </c>
      <c r="D110" s="50" t="s">
        <v>22</v>
      </c>
      <c r="E110" s="50" t="s">
        <v>738</v>
      </c>
      <c r="F110" s="50" t="s">
        <v>22</v>
      </c>
      <c r="G110" s="56">
        <v>140.0</v>
      </c>
      <c r="H110" s="57">
        <v>91194.4</v>
      </c>
      <c r="I110" s="58">
        <v>31.0</v>
      </c>
      <c r="J110" s="57">
        <f t="shared" si="1"/>
        <v>2827026.4</v>
      </c>
      <c r="K110" s="57">
        <f t="shared" si="8"/>
        <v>1413513.2</v>
      </c>
      <c r="L110" s="57">
        <f t="shared" si="3"/>
        <v>1413513.2</v>
      </c>
      <c r="M110" s="65">
        <v>35000.0</v>
      </c>
    </row>
    <row r="111">
      <c r="A111" s="47">
        <v>109.0</v>
      </c>
      <c r="B111" s="50" t="s">
        <v>67</v>
      </c>
      <c r="C111" s="50" t="s">
        <v>69</v>
      </c>
      <c r="D111" s="50" t="s">
        <v>743</v>
      </c>
      <c r="E111" s="50" t="s">
        <v>744</v>
      </c>
      <c r="F111" s="50" t="s">
        <v>743</v>
      </c>
      <c r="G111" s="56">
        <v>320.0</v>
      </c>
      <c r="H111" s="57">
        <v>178604.8</v>
      </c>
      <c r="I111" s="58">
        <v>31.0</v>
      </c>
      <c r="J111" s="57">
        <f t="shared" si="1"/>
        <v>5536748.8</v>
      </c>
      <c r="K111" s="57">
        <f t="shared" si="8"/>
        <v>2768374.4</v>
      </c>
      <c r="L111" s="57">
        <f t="shared" si="3"/>
        <v>2768374.4</v>
      </c>
      <c r="M111" s="65">
        <v>100000.0</v>
      </c>
    </row>
    <row r="112">
      <c r="A112" s="47">
        <v>110.0</v>
      </c>
      <c r="B112" s="50" t="s">
        <v>67</v>
      </c>
      <c r="C112" s="50" t="s">
        <v>69</v>
      </c>
      <c r="D112" s="50" t="s">
        <v>743</v>
      </c>
      <c r="E112" s="50" t="s">
        <v>748</v>
      </c>
      <c r="F112" s="50" t="s">
        <v>750</v>
      </c>
      <c r="G112" s="56">
        <v>330.0</v>
      </c>
      <c r="H112" s="57">
        <v>183145.6</v>
      </c>
      <c r="I112" s="58">
        <v>31.0</v>
      </c>
      <c r="J112" s="57">
        <f t="shared" si="1"/>
        <v>5677513.6</v>
      </c>
      <c r="K112" s="57">
        <f t="shared" si="8"/>
        <v>2838756.8</v>
      </c>
      <c r="L112" s="57">
        <f t="shared" si="3"/>
        <v>2838756.8</v>
      </c>
      <c r="M112" s="65">
        <v>100000.0</v>
      </c>
    </row>
    <row r="113">
      <c r="A113" s="47">
        <v>111.0</v>
      </c>
      <c r="B113" s="50" t="s">
        <v>67</v>
      </c>
      <c r="C113" s="50" t="s">
        <v>69</v>
      </c>
      <c r="D113" s="50" t="s">
        <v>743</v>
      </c>
      <c r="E113" s="50" t="s">
        <v>756</v>
      </c>
      <c r="F113" s="50" t="s">
        <v>105</v>
      </c>
      <c r="G113" s="56">
        <v>310.0</v>
      </c>
      <c r="H113" s="57">
        <v>174064.0</v>
      </c>
      <c r="I113" s="58">
        <v>31.0</v>
      </c>
      <c r="J113" s="57">
        <f t="shared" si="1"/>
        <v>5395984</v>
      </c>
      <c r="K113" s="57">
        <f t="shared" si="8"/>
        <v>2697992</v>
      </c>
      <c r="L113" s="57">
        <f t="shared" si="3"/>
        <v>2697992</v>
      </c>
      <c r="M113" s="65">
        <v>100000.0</v>
      </c>
    </row>
    <row r="114">
      <c r="A114" s="47">
        <v>112.0</v>
      </c>
      <c r="B114" s="50" t="s">
        <v>67</v>
      </c>
      <c r="C114" s="50" t="s">
        <v>762</v>
      </c>
      <c r="D114" s="261" t="s">
        <v>763</v>
      </c>
      <c r="E114" s="190"/>
      <c r="F114" s="190"/>
      <c r="G114" s="56">
        <v>130.0</v>
      </c>
      <c r="H114" s="57">
        <v>68036.32</v>
      </c>
      <c r="I114" s="58">
        <v>31.0</v>
      </c>
      <c r="J114" s="57">
        <f t="shared" si="1"/>
        <v>2109125.92</v>
      </c>
      <c r="K114" s="57">
        <f t="shared" si="8"/>
        <v>1054562.96</v>
      </c>
      <c r="L114" s="57">
        <f t="shared" si="3"/>
        <v>1054562.96</v>
      </c>
      <c r="M114" s="191"/>
    </row>
    <row r="115">
      <c r="A115" s="47">
        <v>113.0</v>
      </c>
      <c r="B115" s="50" t="s">
        <v>67</v>
      </c>
      <c r="C115" s="50" t="s">
        <v>69</v>
      </c>
      <c r="D115" s="50" t="s">
        <v>769</v>
      </c>
      <c r="E115" s="50" t="s">
        <v>770</v>
      </c>
      <c r="F115" s="50" t="s">
        <v>769</v>
      </c>
      <c r="G115" s="56">
        <v>350.0</v>
      </c>
      <c r="H115" s="57">
        <v>192227.2</v>
      </c>
      <c r="I115" s="58">
        <v>31.0</v>
      </c>
      <c r="J115" s="57">
        <f t="shared" si="1"/>
        <v>5959043.2</v>
      </c>
      <c r="K115" s="57">
        <f t="shared" si="8"/>
        <v>2979521.6</v>
      </c>
      <c r="L115" s="57">
        <f t="shared" si="3"/>
        <v>2979521.6</v>
      </c>
      <c r="M115" s="65">
        <v>100000.0</v>
      </c>
    </row>
    <row r="116">
      <c r="A116" s="47">
        <v>114.0</v>
      </c>
      <c r="B116" s="50" t="s">
        <v>67</v>
      </c>
      <c r="C116" s="50" t="s">
        <v>69</v>
      </c>
      <c r="D116" s="50" t="s">
        <v>331</v>
      </c>
      <c r="E116" s="50" t="s">
        <v>774</v>
      </c>
      <c r="F116" s="50" t="s">
        <v>331</v>
      </c>
      <c r="G116" s="56">
        <v>240.0</v>
      </c>
      <c r="H116" s="57">
        <v>143186.56</v>
      </c>
      <c r="I116" s="58">
        <v>31.0</v>
      </c>
      <c r="J116" s="57">
        <f t="shared" si="1"/>
        <v>4438783.36</v>
      </c>
      <c r="K116" s="57">
        <f t="shared" si="8"/>
        <v>2219391.68</v>
      </c>
      <c r="L116" s="57">
        <f t="shared" si="3"/>
        <v>2219391.68</v>
      </c>
      <c r="M116" s="65">
        <v>50000.0</v>
      </c>
    </row>
    <row r="117">
      <c r="A117" s="47">
        <v>115.0</v>
      </c>
      <c r="B117" s="50" t="s">
        <v>67</v>
      </c>
      <c r="C117" s="50" t="s">
        <v>69</v>
      </c>
      <c r="D117" s="50" t="s">
        <v>776</v>
      </c>
      <c r="E117" s="50" t="s">
        <v>777</v>
      </c>
      <c r="F117" s="50" t="s">
        <v>776</v>
      </c>
      <c r="G117" s="56">
        <v>580.0</v>
      </c>
      <c r="H117" s="57">
        <v>296665.6</v>
      </c>
      <c r="I117" s="58">
        <v>31.0</v>
      </c>
      <c r="J117" s="57">
        <f t="shared" si="1"/>
        <v>9196633.6</v>
      </c>
      <c r="K117" s="57">
        <f t="shared" si="8"/>
        <v>4598316.8</v>
      </c>
      <c r="L117" s="57">
        <f t="shared" si="3"/>
        <v>4598316.8</v>
      </c>
      <c r="M117" s="65">
        <v>100000.0</v>
      </c>
    </row>
    <row r="118">
      <c r="A118" s="47">
        <v>116.0</v>
      </c>
      <c r="B118" s="50" t="s">
        <v>67</v>
      </c>
      <c r="C118" s="50" t="s">
        <v>69</v>
      </c>
      <c r="D118" s="50" t="s">
        <v>778</v>
      </c>
      <c r="E118" s="50" t="s">
        <v>779</v>
      </c>
      <c r="F118" s="50" t="s">
        <v>778</v>
      </c>
      <c r="G118" s="56">
        <v>340.0</v>
      </c>
      <c r="H118" s="57">
        <v>190713.6</v>
      </c>
      <c r="I118" s="58">
        <v>31.0</v>
      </c>
      <c r="J118" s="57">
        <f t="shared" si="1"/>
        <v>5912121.6</v>
      </c>
      <c r="K118" s="57">
        <f t="shared" si="8"/>
        <v>2956060.8</v>
      </c>
      <c r="L118" s="57">
        <f t="shared" si="3"/>
        <v>2956060.8</v>
      </c>
      <c r="M118" s="65">
        <v>100000.0</v>
      </c>
    </row>
    <row r="119">
      <c r="A119" s="47">
        <v>117.0</v>
      </c>
      <c r="B119" s="50" t="s">
        <v>67</v>
      </c>
      <c r="C119" s="50" t="s">
        <v>69</v>
      </c>
      <c r="D119" s="50" t="s">
        <v>9</v>
      </c>
      <c r="E119" s="50" t="s">
        <v>782</v>
      </c>
      <c r="F119" s="50" t="s">
        <v>783</v>
      </c>
      <c r="G119" s="56">
        <v>100.0</v>
      </c>
      <c r="H119" s="57">
        <v>68490.4</v>
      </c>
      <c r="I119" s="58">
        <v>31.0</v>
      </c>
      <c r="J119" s="57">
        <f t="shared" si="1"/>
        <v>2123202.4</v>
      </c>
      <c r="K119" s="57">
        <f t="shared" si="8"/>
        <v>1061601.2</v>
      </c>
      <c r="L119" s="57">
        <f t="shared" si="3"/>
        <v>1061601.2</v>
      </c>
      <c r="M119" s="65">
        <v>30000.0</v>
      </c>
    </row>
    <row r="120">
      <c r="A120" s="47">
        <v>118.0</v>
      </c>
      <c r="B120" s="50" t="s">
        <v>67</v>
      </c>
      <c r="C120" s="50" t="s">
        <v>69</v>
      </c>
      <c r="D120" s="50" t="s">
        <v>99</v>
      </c>
      <c r="E120" s="50" t="s">
        <v>787</v>
      </c>
      <c r="F120" s="50" t="s">
        <v>99</v>
      </c>
      <c r="G120" s="56">
        <v>270.0</v>
      </c>
      <c r="H120" s="57">
        <v>147576.0</v>
      </c>
      <c r="I120" s="264">
        <v>30.0</v>
      </c>
      <c r="J120" s="57">
        <f t="shared" si="1"/>
        <v>4427280</v>
      </c>
      <c r="K120" s="57">
        <f>J120*62%</f>
        <v>2744913.6</v>
      </c>
      <c r="L120" s="57">
        <f t="shared" si="3"/>
        <v>1682366.4</v>
      </c>
      <c r="M120" s="65">
        <v>50000.0</v>
      </c>
    </row>
    <row r="121">
      <c r="A121" s="47">
        <v>119.0</v>
      </c>
      <c r="B121" s="50" t="s">
        <v>67</v>
      </c>
      <c r="C121" s="50" t="s">
        <v>69</v>
      </c>
      <c r="D121" s="50" t="s">
        <v>793</v>
      </c>
      <c r="E121" s="50" t="s">
        <v>794</v>
      </c>
      <c r="F121" s="50" t="s">
        <v>796</v>
      </c>
      <c r="G121" s="56">
        <v>220.0</v>
      </c>
      <c r="H121" s="57">
        <v>131758.88</v>
      </c>
      <c r="I121" s="58">
        <v>31.0</v>
      </c>
      <c r="J121" s="57">
        <f t="shared" si="1"/>
        <v>4084525.28</v>
      </c>
      <c r="K121" s="57">
        <f>J121*50%</f>
        <v>2042262.64</v>
      </c>
      <c r="L121" s="57">
        <f t="shared" si="3"/>
        <v>2042262.64</v>
      </c>
      <c r="M121" s="65">
        <v>50000.0</v>
      </c>
    </row>
    <row r="122">
      <c r="A122" s="113">
        <v>120.0</v>
      </c>
      <c r="B122" s="107" t="s">
        <v>67</v>
      </c>
      <c r="C122" s="107" t="s">
        <v>69</v>
      </c>
      <c r="D122" s="107" t="s">
        <v>54</v>
      </c>
      <c r="E122" s="107" t="s">
        <v>800</v>
      </c>
      <c r="F122" s="107" t="s">
        <v>54</v>
      </c>
      <c r="G122" s="116">
        <v>240.0</v>
      </c>
      <c r="H122" s="160">
        <v>133056.0</v>
      </c>
      <c r="I122" s="120">
        <v>30.0</v>
      </c>
      <c r="J122" s="118">
        <f t="shared" si="1"/>
        <v>3991680</v>
      </c>
      <c r="K122" s="118">
        <f>J122*54%</f>
        <v>2155507.2</v>
      </c>
      <c r="L122" s="118">
        <f t="shared" si="3"/>
        <v>1836172.8</v>
      </c>
      <c r="M122" s="127">
        <v>50000.0</v>
      </c>
      <c r="N122" s="274" t="s">
        <v>803</v>
      </c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>
      <c r="A123" s="47">
        <v>121.0</v>
      </c>
      <c r="B123" s="50" t="s">
        <v>67</v>
      </c>
      <c r="C123" s="50" t="s">
        <v>69</v>
      </c>
      <c r="D123" s="107" t="s">
        <v>54</v>
      </c>
      <c r="E123" s="107" t="s">
        <v>327</v>
      </c>
      <c r="F123" s="107" t="s">
        <v>328</v>
      </c>
      <c r="G123" s="56">
        <v>200.0</v>
      </c>
      <c r="H123" s="160">
        <v>120890.9</v>
      </c>
      <c r="I123" s="58">
        <v>31.0</v>
      </c>
      <c r="J123" s="57">
        <f t="shared" si="1"/>
        <v>3747617.9</v>
      </c>
      <c r="K123" s="57">
        <f>J123*50.698872%</f>
        <v>1900000.002</v>
      </c>
      <c r="L123" s="57">
        <f t="shared" si="3"/>
        <v>1847617.898</v>
      </c>
      <c r="M123" s="65">
        <v>50000.0</v>
      </c>
      <c r="N123" s="118">
        <v>120331.2</v>
      </c>
    </row>
    <row r="124">
      <c r="A124" s="47">
        <v>122.0</v>
      </c>
      <c r="B124" s="50" t="s">
        <v>67</v>
      </c>
      <c r="C124" s="50" t="s">
        <v>69</v>
      </c>
      <c r="D124" s="50" t="s">
        <v>54</v>
      </c>
      <c r="E124" s="50" t="s">
        <v>812</v>
      </c>
      <c r="F124" s="50" t="s">
        <v>89</v>
      </c>
      <c r="G124" s="56">
        <v>250.0</v>
      </c>
      <c r="H124" s="57">
        <v>142278.4</v>
      </c>
      <c r="I124" s="58">
        <v>31.0</v>
      </c>
      <c r="J124" s="57">
        <f t="shared" si="1"/>
        <v>4410630.4</v>
      </c>
      <c r="K124" s="57">
        <f>J124*58%</f>
        <v>2558165.632</v>
      </c>
      <c r="L124" s="57">
        <f t="shared" si="3"/>
        <v>1852464.768</v>
      </c>
      <c r="M124" s="65">
        <v>50000.0</v>
      </c>
    </row>
    <row r="125">
      <c r="A125" s="47">
        <v>123.0</v>
      </c>
      <c r="B125" s="50" t="s">
        <v>67</v>
      </c>
      <c r="C125" s="50" t="s">
        <v>69</v>
      </c>
      <c r="D125" s="50" t="s">
        <v>54</v>
      </c>
      <c r="E125" s="50" t="s">
        <v>817</v>
      </c>
      <c r="F125" s="50" t="s">
        <v>818</v>
      </c>
      <c r="G125" s="56">
        <v>200.0</v>
      </c>
      <c r="H125" s="57">
        <v>120331.2</v>
      </c>
      <c r="I125" s="58">
        <v>31.0</v>
      </c>
      <c r="J125" s="57">
        <f t="shared" si="1"/>
        <v>3730267.2</v>
      </c>
      <c r="K125" s="57">
        <f>J125*50%</f>
        <v>1865133.6</v>
      </c>
      <c r="L125" s="57">
        <f t="shared" si="3"/>
        <v>1865133.6</v>
      </c>
      <c r="M125" s="65">
        <v>50000.0</v>
      </c>
    </row>
    <row r="126">
      <c r="A126" s="47">
        <v>124.0</v>
      </c>
      <c r="B126" s="50" t="s">
        <v>67</v>
      </c>
      <c r="C126" s="50" t="s">
        <v>69</v>
      </c>
      <c r="D126" s="50" t="s">
        <v>54</v>
      </c>
      <c r="E126" s="50" t="s">
        <v>823</v>
      </c>
      <c r="F126" s="50" t="s">
        <v>825</v>
      </c>
      <c r="G126" s="56">
        <v>240.0</v>
      </c>
      <c r="H126" s="57">
        <v>137737.6</v>
      </c>
      <c r="I126" s="58">
        <v>31.0</v>
      </c>
      <c r="J126" s="57">
        <f t="shared" si="1"/>
        <v>4269865.6</v>
      </c>
      <c r="K126" s="57">
        <f>J126*48%</f>
        <v>2049535.488</v>
      </c>
      <c r="L126" s="57">
        <f t="shared" si="3"/>
        <v>2220330.112</v>
      </c>
      <c r="M126" s="65">
        <v>50000.0</v>
      </c>
    </row>
    <row r="127">
      <c r="A127" s="47">
        <v>125.0</v>
      </c>
      <c r="B127" s="50" t="s">
        <v>67</v>
      </c>
      <c r="C127" s="50" t="s">
        <v>69</v>
      </c>
      <c r="D127" s="50" t="s">
        <v>54</v>
      </c>
      <c r="E127" s="50" t="s">
        <v>828</v>
      </c>
      <c r="F127" s="50" t="s">
        <v>829</v>
      </c>
      <c r="G127" s="56">
        <v>250.0</v>
      </c>
      <c r="H127" s="57">
        <v>142278.4</v>
      </c>
      <c r="I127" s="58">
        <v>31.0</v>
      </c>
      <c r="J127" s="57">
        <f t="shared" si="1"/>
        <v>4410630.4</v>
      </c>
      <c r="K127" s="57">
        <f>J127*50%</f>
        <v>2205315.2</v>
      </c>
      <c r="L127" s="57">
        <f t="shared" si="3"/>
        <v>2205315.2</v>
      </c>
      <c r="M127" s="65">
        <v>50000.0</v>
      </c>
    </row>
    <row r="128">
      <c r="A128" s="47">
        <v>126.0</v>
      </c>
      <c r="B128" s="50" t="s">
        <v>67</v>
      </c>
      <c r="C128" s="50" t="s">
        <v>69</v>
      </c>
      <c r="D128" s="50" t="s">
        <v>54</v>
      </c>
      <c r="E128" s="50" t="s">
        <v>837</v>
      </c>
      <c r="F128" s="50" t="s">
        <v>838</v>
      </c>
      <c r="G128" s="56">
        <v>260.0</v>
      </c>
      <c r="H128" s="57">
        <v>146819.2</v>
      </c>
      <c r="I128" s="58">
        <v>31.0</v>
      </c>
      <c r="J128" s="57">
        <f t="shared" si="1"/>
        <v>4551395.2</v>
      </c>
      <c r="K128" s="57">
        <f t="shared" ref="K128:K129" si="9">J128*60%</f>
        <v>2730837.12</v>
      </c>
      <c r="L128" s="57">
        <f t="shared" si="3"/>
        <v>1820558.08</v>
      </c>
      <c r="M128" s="65">
        <v>50000.0</v>
      </c>
    </row>
    <row r="129">
      <c r="A129" s="113">
        <v>127.0</v>
      </c>
      <c r="B129" s="107" t="s">
        <v>67</v>
      </c>
      <c r="C129" s="107" t="s">
        <v>69</v>
      </c>
      <c r="D129" s="107" t="s">
        <v>844</v>
      </c>
      <c r="E129" s="107" t="s">
        <v>845</v>
      </c>
      <c r="F129" s="107" t="s">
        <v>844</v>
      </c>
      <c r="G129" s="116">
        <v>770.0</v>
      </c>
      <c r="H129" s="118">
        <v>400347.2</v>
      </c>
      <c r="I129" s="120">
        <v>25.0</v>
      </c>
      <c r="J129" s="118">
        <f t="shared" si="1"/>
        <v>10008680</v>
      </c>
      <c r="K129" s="118">
        <f t="shared" si="9"/>
        <v>6005208</v>
      </c>
      <c r="L129" s="118">
        <f t="shared" si="3"/>
        <v>4003472</v>
      </c>
      <c r="M129" s="127">
        <v>100000.0</v>
      </c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>
      <c r="A130" s="47">
        <v>128.0</v>
      </c>
      <c r="B130" s="50" t="s">
        <v>67</v>
      </c>
      <c r="C130" s="50" t="s">
        <v>69</v>
      </c>
      <c r="D130" s="50" t="s">
        <v>256</v>
      </c>
      <c r="E130" s="50" t="s">
        <v>846</v>
      </c>
      <c r="F130" s="50" t="s">
        <v>256</v>
      </c>
      <c r="G130" s="56">
        <v>170.0</v>
      </c>
      <c r="H130" s="57">
        <v>107389.92</v>
      </c>
      <c r="I130" s="58">
        <v>31.0</v>
      </c>
      <c r="J130" s="57">
        <f t="shared" si="1"/>
        <v>3329087.52</v>
      </c>
      <c r="K130" s="57">
        <f t="shared" ref="K130:K137" si="10">J130*50%</f>
        <v>1664543.76</v>
      </c>
      <c r="L130" s="57">
        <f t="shared" si="3"/>
        <v>1664543.76</v>
      </c>
      <c r="M130" s="65">
        <v>50000.0</v>
      </c>
    </row>
    <row r="131">
      <c r="A131" s="47">
        <v>129.0</v>
      </c>
      <c r="B131" s="50" t="s">
        <v>67</v>
      </c>
      <c r="C131" s="50" t="s">
        <v>69</v>
      </c>
      <c r="D131" s="50" t="s">
        <v>256</v>
      </c>
      <c r="E131" s="50" t="s">
        <v>850</v>
      </c>
      <c r="F131" s="50" t="s">
        <v>852</v>
      </c>
      <c r="G131" s="56">
        <v>170.0</v>
      </c>
      <c r="H131" s="57">
        <v>107389.92</v>
      </c>
      <c r="I131" s="58">
        <v>31.0</v>
      </c>
      <c r="J131" s="57">
        <f t="shared" si="1"/>
        <v>3329087.52</v>
      </c>
      <c r="K131" s="57">
        <f t="shared" si="10"/>
        <v>1664543.76</v>
      </c>
      <c r="L131" s="57">
        <f t="shared" si="3"/>
        <v>1664543.76</v>
      </c>
      <c r="M131" s="65">
        <v>50000.0</v>
      </c>
    </row>
    <row r="132">
      <c r="A132" s="47">
        <v>130.0</v>
      </c>
      <c r="B132" s="50" t="s">
        <v>67</v>
      </c>
      <c r="C132" s="50" t="s">
        <v>69</v>
      </c>
      <c r="D132" s="50" t="s">
        <v>256</v>
      </c>
      <c r="E132" s="50" t="s">
        <v>858</v>
      </c>
      <c r="F132" s="50" t="s">
        <v>859</v>
      </c>
      <c r="G132" s="56">
        <v>170.0</v>
      </c>
      <c r="H132" s="57">
        <v>107541.28</v>
      </c>
      <c r="I132" s="58">
        <v>31.0</v>
      </c>
      <c r="J132" s="57">
        <f t="shared" si="1"/>
        <v>3333779.68</v>
      </c>
      <c r="K132" s="57">
        <f t="shared" si="10"/>
        <v>1666889.84</v>
      </c>
      <c r="L132" s="57">
        <f t="shared" si="3"/>
        <v>1666889.84</v>
      </c>
      <c r="M132" s="65">
        <v>50000.0</v>
      </c>
    </row>
    <row r="133">
      <c r="A133" s="47">
        <v>131.0</v>
      </c>
      <c r="B133" s="50" t="s">
        <v>67</v>
      </c>
      <c r="C133" s="50" t="s">
        <v>69</v>
      </c>
      <c r="D133" s="50" t="s">
        <v>256</v>
      </c>
      <c r="E133" s="50" t="s">
        <v>862</v>
      </c>
      <c r="F133" s="50" t="s">
        <v>864</v>
      </c>
      <c r="G133" s="56">
        <v>170.0</v>
      </c>
      <c r="H133" s="57">
        <v>107389.92</v>
      </c>
      <c r="I133" s="58">
        <v>31.0</v>
      </c>
      <c r="J133" s="57">
        <f t="shared" si="1"/>
        <v>3329087.52</v>
      </c>
      <c r="K133" s="57">
        <f t="shared" si="10"/>
        <v>1664543.76</v>
      </c>
      <c r="L133" s="57">
        <f t="shared" si="3"/>
        <v>1664543.76</v>
      </c>
      <c r="M133" s="65">
        <v>50000.0</v>
      </c>
    </row>
    <row r="134">
      <c r="A134" s="47">
        <v>132.0</v>
      </c>
      <c r="B134" s="50" t="s">
        <v>67</v>
      </c>
      <c r="C134" s="50" t="s">
        <v>69</v>
      </c>
      <c r="D134" s="50" t="s">
        <v>256</v>
      </c>
      <c r="E134" s="50" t="s">
        <v>868</v>
      </c>
      <c r="F134" s="50" t="s">
        <v>869</v>
      </c>
      <c r="G134" s="56">
        <v>170.0</v>
      </c>
      <c r="H134" s="57">
        <v>107389.92</v>
      </c>
      <c r="I134" s="58">
        <v>31.0</v>
      </c>
      <c r="J134" s="57">
        <f t="shared" si="1"/>
        <v>3329087.52</v>
      </c>
      <c r="K134" s="57">
        <f t="shared" si="10"/>
        <v>1664543.76</v>
      </c>
      <c r="L134" s="57">
        <f t="shared" si="3"/>
        <v>1664543.76</v>
      </c>
      <c r="M134" s="65">
        <v>50000.0</v>
      </c>
    </row>
    <row r="135">
      <c r="A135" s="47">
        <v>133.0</v>
      </c>
      <c r="B135" s="50" t="s">
        <v>67</v>
      </c>
      <c r="C135" s="50" t="s">
        <v>69</v>
      </c>
      <c r="D135" s="50" t="s">
        <v>256</v>
      </c>
      <c r="E135" s="50" t="s">
        <v>872</v>
      </c>
      <c r="F135" s="50" t="s">
        <v>874</v>
      </c>
      <c r="G135" s="56">
        <v>170.0</v>
      </c>
      <c r="H135" s="57">
        <v>107389.92</v>
      </c>
      <c r="I135" s="58">
        <v>31.0</v>
      </c>
      <c r="J135" s="57">
        <f t="shared" si="1"/>
        <v>3329087.52</v>
      </c>
      <c r="K135" s="57">
        <f t="shared" si="10"/>
        <v>1664543.76</v>
      </c>
      <c r="L135" s="57">
        <f t="shared" si="3"/>
        <v>1664543.76</v>
      </c>
      <c r="M135" s="65">
        <v>50000.0</v>
      </c>
    </row>
    <row r="136">
      <c r="A136" s="47">
        <v>134.0</v>
      </c>
      <c r="B136" s="50" t="s">
        <v>67</v>
      </c>
      <c r="C136" s="50" t="s">
        <v>69</v>
      </c>
      <c r="D136" s="50" t="s">
        <v>335</v>
      </c>
      <c r="E136" s="50" t="s">
        <v>878</v>
      </c>
      <c r="F136" s="50" t="s">
        <v>879</v>
      </c>
      <c r="G136" s="56">
        <v>310.0</v>
      </c>
      <c r="H136" s="57">
        <v>179361.6</v>
      </c>
      <c r="I136" s="58">
        <v>31.0</v>
      </c>
      <c r="J136" s="57">
        <f t="shared" si="1"/>
        <v>5560209.6</v>
      </c>
      <c r="K136" s="57">
        <f t="shared" si="10"/>
        <v>2780104.8</v>
      </c>
      <c r="L136" s="57">
        <f t="shared" si="3"/>
        <v>2780104.8</v>
      </c>
      <c r="M136" s="65">
        <v>50000.0</v>
      </c>
    </row>
    <row r="137">
      <c r="A137" s="47">
        <v>135.0</v>
      </c>
      <c r="B137" s="50" t="s">
        <v>67</v>
      </c>
      <c r="C137" s="50" t="s">
        <v>69</v>
      </c>
      <c r="D137" s="50" t="s">
        <v>335</v>
      </c>
      <c r="E137" s="50" t="s">
        <v>884</v>
      </c>
      <c r="F137" s="50" t="s">
        <v>335</v>
      </c>
      <c r="G137" s="56">
        <v>310.0</v>
      </c>
      <c r="H137" s="57">
        <v>179361.6</v>
      </c>
      <c r="I137" s="58">
        <v>31.0</v>
      </c>
      <c r="J137" s="57">
        <f t="shared" si="1"/>
        <v>5560209.6</v>
      </c>
      <c r="K137" s="57">
        <f t="shared" si="10"/>
        <v>2780104.8</v>
      </c>
      <c r="L137" s="57">
        <f t="shared" si="3"/>
        <v>2780104.8</v>
      </c>
      <c r="M137" s="65">
        <v>50000.0</v>
      </c>
    </row>
    <row r="138">
      <c r="A138" s="47">
        <v>136.0</v>
      </c>
      <c r="B138" s="50" t="s">
        <v>67</v>
      </c>
      <c r="C138" s="50" t="s">
        <v>69</v>
      </c>
      <c r="D138" s="50" t="s">
        <v>227</v>
      </c>
      <c r="E138" s="50" t="s">
        <v>889</v>
      </c>
      <c r="F138" s="50" t="s">
        <v>891</v>
      </c>
      <c r="G138" s="56">
        <v>320.0</v>
      </c>
      <c r="H138" s="57">
        <v>181632.0</v>
      </c>
      <c r="I138" s="58">
        <v>31.0</v>
      </c>
      <c r="J138" s="57">
        <f t="shared" si="1"/>
        <v>5630592</v>
      </c>
      <c r="K138" s="57">
        <f>J138*55.3%</f>
        <v>3113717.376</v>
      </c>
      <c r="L138" s="57">
        <f t="shared" si="3"/>
        <v>2516874.624</v>
      </c>
      <c r="M138" s="65">
        <v>50000.0</v>
      </c>
    </row>
    <row r="139">
      <c r="A139" s="47">
        <v>137.0</v>
      </c>
      <c r="B139" s="50" t="s">
        <v>67</v>
      </c>
      <c r="C139" s="50" t="s">
        <v>69</v>
      </c>
      <c r="D139" s="50" t="s">
        <v>227</v>
      </c>
      <c r="E139" s="50" t="s">
        <v>898</v>
      </c>
      <c r="F139" s="50" t="s">
        <v>227</v>
      </c>
      <c r="G139" s="56">
        <v>320.0</v>
      </c>
      <c r="H139" s="57">
        <v>181632.0</v>
      </c>
      <c r="I139" s="58">
        <v>31.0</v>
      </c>
      <c r="J139" s="57">
        <f t="shared" si="1"/>
        <v>5630592</v>
      </c>
      <c r="K139" s="57">
        <f t="shared" ref="K139:K142" si="11">J139*50%</f>
        <v>2815296</v>
      </c>
      <c r="L139" s="57">
        <f t="shared" si="3"/>
        <v>2815296</v>
      </c>
      <c r="M139" s="65">
        <v>50000.0</v>
      </c>
    </row>
    <row r="140">
      <c r="A140" s="47">
        <v>138.0</v>
      </c>
      <c r="B140" s="50" t="s">
        <v>67</v>
      </c>
      <c r="C140" s="50" t="s">
        <v>69</v>
      </c>
      <c r="D140" s="50" t="s">
        <v>227</v>
      </c>
      <c r="E140" s="50" t="s">
        <v>902</v>
      </c>
      <c r="F140" s="50" t="s">
        <v>903</v>
      </c>
      <c r="G140" s="56">
        <v>310.0</v>
      </c>
      <c r="H140" s="57">
        <v>177091.2</v>
      </c>
      <c r="I140" s="58">
        <v>31.0</v>
      </c>
      <c r="J140" s="57">
        <f t="shared" si="1"/>
        <v>5489827.2</v>
      </c>
      <c r="K140" s="57">
        <f t="shared" si="11"/>
        <v>2744913.6</v>
      </c>
      <c r="L140" s="57">
        <f t="shared" si="3"/>
        <v>2744913.6</v>
      </c>
      <c r="M140" s="65">
        <v>50000.0</v>
      </c>
    </row>
    <row r="141">
      <c r="A141" s="47">
        <v>139.0</v>
      </c>
      <c r="B141" s="50" t="s">
        <v>67</v>
      </c>
      <c r="C141" s="50" t="s">
        <v>69</v>
      </c>
      <c r="D141" s="50" t="s">
        <v>227</v>
      </c>
      <c r="E141" s="50" t="s">
        <v>907</v>
      </c>
      <c r="F141" s="50" t="s">
        <v>908</v>
      </c>
      <c r="G141" s="56">
        <v>310.0</v>
      </c>
      <c r="H141" s="57">
        <v>177091.2</v>
      </c>
      <c r="I141" s="58">
        <v>31.0</v>
      </c>
      <c r="J141" s="57">
        <f t="shared" si="1"/>
        <v>5489827.2</v>
      </c>
      <c r="K141" s="57">
        <f t="shared" si="11"/>
        <v>2744913.6</v>
      </c>
      <c r="L141" s="57">
        <f t="shared" si="3"/>
        <v>2744913.6</v>
      </c>
      <c r="M141" s="65">
        <v>50000.0</v>
      </c>
    </row>
    <row r="142">
      <c r="A142" s="47">
        <v>140.0</v>
      </c>
      <c r="B142" s="50" t="s">
        <v>67</v>
      </c>
      <c r="C142" s="50" t="s">
        <v>69</v>
      </c>
      <c r="D142" s="50" t="s">
        <v>227</v>
      </c>
      <c r="E142" s="50" t="s">
        <v>918</v>
      </c>
      <c r="F142" s="50" t="s">
        <v>262</v>
      </c>
      <c r="G142" s="56">
        <v>310.0</v>
      </c>
      <c r="H142" s="57">
        <v>177091.2</v>
      </c>
      <c r="I142" s="58">
        <v>31.0</v>
      </c>
      <c r="J142" s="57">
        <f t="shared" si="1"/>
        <v>5489827.2</v>
      </c>
      <c r="K142" s="57">
        <f t="shared" si="11"/>
        <v>2744913.6</v>
      </c>
      <c r="L142" s="57">
        <f t="shared" si="3"/>
        <v>2744913.6</v>
      </c>
      <c r="M142" s="65">
        <v>50000.0</v>
      </c>
    </row>
    <row r="143">
      <c r="A143" s="47">
        <v>141.0</v>
      </c>
      <c r="B143" s="209" t="s">
        <v>67</v>
      </c>
      <c r="C143" s="209" t="s">
        <v>69</v>
      </c>
      <c r="D143" s="209" t="s">
        <v>130</v>
      </c>
      <c r="E143" s="209" t="s">
        <v>922</v>
      </c>
      <c r="F143" s="209" t="s">
        <v>924</v>
      </c>
      <c r="G143" s="210">
        <v>250.0</v>
      </c>
      <c r="H143" s="57">
        <v>146062.4</v>
      </c>
      <c r="I143" s="58">
        <v>31.0</v>
      </c>
      <c r="J143" s="57">
        <f t="shared" si="1"/>
        <v>4527934.4</v>
      </c>
      <c r="K143" s="57">
        <f>J143*55%</f>
        <v>2490363.92</v>
      </c>
      <c r="L143" s="57">
        <f t="shared" si="3"/>
        <v>2037570.48</v>
      </c>
      <c r="M143" s="65">
        <v>50000.0</v>
      </c>
    </row>
    <row r="144">
      <c r="A144" s="47">
        <v>142.0</v>
      </c>
      <c r="B144" s="50" t="s">
        <v>67</v>
      </c>
      <c r="C144" s="50" t="s">
        <v>69</v>
      </c>
      <c r="D144" s="50" t="s">
        <v>130</v>
      </c>
      <c r="E144" s="50" t="s">
        <v>928</v>
      </c>
      <c r="F144" s="50" t="s">
        <v>929</v>
      </c>
      <c r="G144" s="56">
        <v>260.0</v>
      </c>
      <c r="H144" s="57">
        <v>154916.96</v>
      </c>
      <c r="I144" s="58">
        <v>31.0</v>
      </c>
      <c r="J144" s="57">
        <f t="shared" si="1"/>
        <v>4802425.76</v>
      </c>
      <c r="K144" s="57">
        <f t="shared" ref="K144:K150" si="12">J144*50%</f>
        <v>2401212.88</v>
      </c>
      <c r="L144" s="57">
        <f t="shared" si="3"/>
        <v>2401212.88</v>
      </c>
      <c r="M144" s="65">
        <v>50000.0</v>
      </c>
    </row>
    <row r="145">
      <c r="A145" s="47">
        <v>143.0</v>
      </c>
      <c r="B145" s="50" t="s">
        <v>67</v>
      </c>
      <c r="C145" s="50" t="s">
        <v>69</v>
      </c>
      <c r="D145" s="50" t="s">
        <v>130</v>
      </c>
      <c r="E145" s="50" t="s">
        <v>935</v>
      </c>
      <c r="F145" s="50" t="s">
        <v>130</v>
      </c>
      <c r="G145" s="56">
        <v>260.0</v>
      </c>
      <c r="H145" s="57">
        <v>154916.96</v>
      </c>
      <c r="I145" s="58">
        <v>31.0</v>
      </c>
      <c r="J145" s="57">
        <f t="shared" si="1"/>
        <v>4802425.76</v>
      </c>
      <c r="K145" s="57">
        <f t="shared" si="12"/>
        <v>2401212.88</v>
      </c>
      <c r="L145" s="57">
        <f t="shared" si="3"/>
        <v>2401212.88</v>
      </c>
      <c r="M145" s="65">
        <v>50000.0</v>
      </c>
    </row>
    <row r="146">
      <c r="A146" s="47">
        <v>144.0</v>
      </c>
      <c r="B146" s="50" t="s">
        <v>67</v>
      </c>
      <c r="C146" s="50" t="s">
        <v>69</v>
      </c>
      <c r="D146" s="50" t="s">
        <v>130</v>
      </c>
      <c r="E146" s="50" t="s">
        <v>940</v>
      </c>
      <c r="F146" s="50" t="s">
        <v>942</v>
      </c>
      <c r="G146" s="56">
        <v>250.0</v>
      </c>
      <c r="H146" s="57">
        <v>148938.24</v>
      </c>
      <c r="I146" s="58">
        <v>31.0</v>
      </c>
      <c r="J146" s="57">
        <f t="shared" si="1"/>
        <v>4617085.44</v>
      </c>
      <c r="K146" s="57">
        <f t="shared" si="12"/>
        <v>2308542.72</v>
      </c>
      <c r="L146" s="57">
        <f t="shared" si="3"/>
        <v>2308542.72</v>
      </c>
      <c r="M146" s="65">
        <v>50000.0</v>
      </c>
    </row>
    <row r="147">
      <c r="A147" s="47">
        <v>145.0</v>
      </c>
      <c r="B147" s="50" t="s">
        <v>67</v>
      </c>
      <c r="C147" s="50" t="s">
        <v>69</v>
      </c>
      <c r="D147" s="50" t="s">
        <v>130</v>
      </c>
      <c r="E147" s="50" t="s">
        <v>944</v>
      </c>
      <c r="F147" s="50" t="s">
        <v>945</v>
      </c>
      <c r="G147" s="56">
        <v>260.0</v>
      </c>
      <c r="H147" s="57">
        <v>154916.96</v>
      </c>
      <c r="I147" s="58">
        <v>31.0</v>
      </c>
      <c r="J147" s="57">
        <f t="shared" si="1"/>
        <v>4802425.76</v>
      </c>
      <c r="K147" s="57">
        <f t="shared" si="12"/>
        <v>2401212.88</v>
      </c>
      <c r="L147" s="57">
        <f t="shared" si="3"/>
        <v>2401212.88</v>
      </c>
      <c r="M147" s="65">
        <v>50000.0</v>
      </c>
    </row>
    <row r="148">
      <c r="A148" s="47">
        <v>146.0</v>
      </c>
      <c r="B148" s="50" t="s">
        <v>67</v>
      </c>
      <c r="C148" s="50" t="s">
        <v>69</v>
      </c>
      <c r="D148" s="50" t="s">
        <v>130</v>
      </c>
      <c r="E148" s="50" t="s">
        <v>950</v>
      </c>
      <c r="F148" s="50" t="s">
        <v>951</v>
      </c>
      <c r="G148" s="56">
        <v>280.0</v>
      </c>
      <c r="H148" s="57">
        <v>164225.6</v>
      </c>
      <c r="I148" s="58">
        <v>31.0</v>
      </c>
      <c r="J148" s="57">
        <f t="shared" si="1"/>
        <v>5090993.6</v>
      </c>
      <c r="K148" s="57">
        <f t="shared" si="12"/>
        <v>2545496.8</v>
      </c>
      <c r="L148" s="57">
        <f t="shared" si="3"/>
        <v>2545496.8</v>
      </c>
      <c r="M148" s="65">
        <v>50000.0</v>
      </c>
    </row>
    <row r="149">
      <c r="A149" s="47">
        <v>147.0</v>
      </c>
      <c r="B149" s="50" t="s">
        <v>67</v>
      </c>
      <c r="C149" s="50" t="s">
        <v>69</v>
      </c>
      <c r="D149" s="107" t="s">
        <v>156</v>
      </c>
      <c r="E149" s="107" t="s">
        <v>952</v>
      </c>
      <c r="F149" s="107" t="s">
        <v>156</v>
      </c>
      <c r="G149" s="56">
        <v>280.0</v>
      </c>
      <c r="H149" s="160">
        <v>164989.4</v>
      </c>
      <c r="I149" s="58">
        <v>31.0</v>
      </c>
      <c r="J149" s="57">
        <f t="shared" si="1"/>
        <v>5114671.4</v>
      </c>
      <c r="K149" s="57">
        <f t="shared" si="12"/>
        <v>2557335.7</v>
      </c>
      <c r="L149" s="57">
        <f t="shared" si="3"/>
        <v>2557335.7</v>
      </c>
      <c r="M149" s="65">
        <v>50000.0</v>
      </c>
      <c r="N149" s="118">
        <v>164225.6</v>
      </c>
    </row>
    <row r="150">
      <c r="A150" s="47">
        <v>148.0</v>
      </c>
      <c r="B150" s="50" t="s">
        <v>67</v>
      </c>
      <c r="C150" s="50" t="s">
        <v>69</v>
      </c>
      <c r="D150" s="50" t="s">
        <v>961</v>
      </c>
      <c r="E150" s="50" t="s">
        <v>962</v>
      </c>
      <c r="F150" s="50" t="s">
        <v>961</v>
      </c>
      <c r="G150" s="56">
        <v>310.0</v>
      </c>
      <c r="H150" s="57">
        <v>177091.2</v>
      </c>
      <c r="I150" s="58">
        <v>31.0</v>
      </c>
      <c r="J150" s="57">
        <f t="shared" si="1"/>
        <v>5489827.2</v>
      </c>
      <c r="K150" s="57">
        <f t="shared" si="12"/>
        <v>2744913.6</v>
      </c>
      <c r="L150" s="57">
        <f t="shared" si="3"/>
        <v>2744913.6</v>
      </c>
      <c r="M150" s="65">
        <v>50000.0</v>
      </c>
    </row>
    <row r="151">
      <c r="A151" s="113">
        <v>149.0</v>
      </c>
      <c r="B151" s="107" t="s">
        <v>67</v>
      </c>
      <c r="C151" s="107" t="s">
        <v>69</v>
      </c>
      <c r="D151" s="107" t="s">
        <v>359</v>
      </c>
      <c r="E151" s="107" t="s">
        <v>966</v>
      </c>
      <c r="F151" s="107" t="s">
        <v>359</v>
      </c>
      <c r="G151" s="116">
        <v>150.0</v>
      </c>
      <c r="H151" s="160">
        <v>97244.9</v>
      </c>
      <c r="I151" s="120">
        <v>28.0</v>
      </c>
      <c r="J151" s="118">
        <f t="shared" si="1"/>
        <v>2722857.2</v>
      </c>
      <c r="K151" s="118">
        <f>J151*59%</f>
        <v>1606485.748</v>
      </c>
      <c r="L151" s="118">
        <f t="shared" si="3"/>
        <v>1116371.452</v>
      </c>
      <c r="M151" s="127">
        <v>50000.0</v>
      </c>
      <c r="N151" s="274" t="s">
        <v>970</v>
      </c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>
      <c r="A152" s="47">
        <v>150.0</v>
      </c>
      <c r="B152" s="50" t="s">
        <v>67</v>
      </c>
      <c r="C152" s="50" t="s">
        <v>69</v>
      </c>
      <c r="D152" s="50" t="s">
        <v>359</v>
      </c>
      <c r="E152" s="50" t="s">
        <v>973</v>
      </c>
      <c r="F152" s="50" t="s">
        <v>975</v>
      </c>
      <c r="G152" s="56">
        <v>160.0</v>
      </c>
      <c r="H152" s="57">
        <v>102319.36</v>
      </c>
      <c r="I152" s="58">
        <v>31.0</v>
      </c>
      <c r="J152" s="57">
        <f t="shared" si="1"/>
        <v>3171900.16</v>
      </c>
      <c r="K152" s="57">
        <f>J152*50%</f>
        <v>1585950.08</v>
      </c>
      <c r="L152" s="57">
        <f t="shared" si="3"/>
        <v>1585950.08</v>
      </c>
      <c r="M152" s="65">
        <v>50000.0</v>
      </c>
    </row>
    <row r="153">
      <c r="A153" s="47">
        <v>151.0</v>
      </c>
      <c r="B153" s="50" t="s">
        <v>67</v>
      </c>
      <c r="C153" s="50" t="s">
        <v>69</v>
      </c>
      <c r="D153" s="107" t="s">
        <v>359</v>
      </c>
      <c r="E153" s="107" t="s">
        <v>979</v>
      </c>
      <c r="F153" s="107" t="s">
        <v>980</v>
      </c>
      <c r="G153" s="56">
        <v>130.0</v>
      </c>
      <c r="H153" s="160">
        <v>85916.2</v>
      </c>
      <c r="I153" s="58">
        <v>31.0</v>
      </c>
      <c r="J153" s="57">
        <f t="shared" si="1"/>
        <v>2663402.2</v>
      </c>
      <c r="K153" s="57">
        <f>J153*60.0735404%</f>
        <v>1599999.997</v>
      </c>
      <c r="L153" s="57">
        <f t="shared" si="3"/>
        <v>1063402.203</v>
      </c>
      <c r="M153" s="65">
        <v>50000.0</v>
      </c>
    </row>
    <row r="154">
      <c r="A154" s="47">
        <v>152.0</v>
      </c>
      <c r="B154" s="50" t="s">
        <v>67</v>
      </c>
      <c r="C154" s="50" t="s">
        <v>69</v>
      </c>
      <c r="D154" s="50" t="s">
        <v>359</v>
      </c>
      <c r="E154" s="50" t="s">
        <v>984</v>
      </c>
      <c r="F154" s="50" t="s">
        <v>986</v>
      </c>
      <c r="G154" s="56">
        <v>270.0</v>
      </c>
      <c r="H154" s="57">
        <v>156657.6</v>
      </c>
      <c r="I154" s="58">
        <v>31.0</v>
      </c>
      <c r="J154" s="57">
        <f t="shared" si="1"/>
        <v>4856385.6</v>
      </c>
      <c r="K154" s="57">
        <f t="shared" ref="K154:K155" si="13">J154*50%</f>
        <v>2428192.8</v>
      </c>
      <c r="L154" s="57">
        <f t="shared" si="3"/>
        <v>2428192.8</v>
      </c>
      <c r="M154" s="65">
        <v>50000.0</v>
      </c>
    </row>
    <row r="155">
      <c r="A155" s="47">
        <v>153.0</v>
      </c>
      <c r="B155" s="50" t="s">
        <v>67</v>
      </c>
      <c r="C155" s="50" t="s">
        <v>69</v>
      </c>
      <c r="D155" s="50" t="s">
        <v>359</v>
      </c>
      <c r="E155" s="50" t="s">
        <v>994</v>
      </c>
      <c r="F155" s="50" t="s">
        <v>995</v>
      </c>
      <c r="G155" s="56">
        <v>170.0</v>
      </c>
      <c r="H155" s="57">
        <v>107389.92</v>
      </c>
      <c r="I155" s="58">
        <v>31.0</v>
      </c>
      <c r="J155" s="57">
        <f t="shared" si="1"/>
        <v>3329087.52</v>
      </c>
      <c r="K155" s="57">
        <f t="shared" si="13"/>
        <v>1664543.76</v>
      </c>
      <c r="L155" s="57">
        <f t="shared" si="3"/>
        <v>1664543.76</v>
      </c>
      <c r="M155" s="65">
        <v>50000.0</v>
      </c>
    </row>
    <row r="156">
      <c r="A156" s="47">
        <v>154.0</v>
      </c>
      <c r="B156" s="50" t="s">
        <v>67</v>
      </c>
      <c r="C156" s="50" t="s">
        <v>69</v>
      </c>
      <c r="D156" s="107" t="s">
        <v>999</v>
      </c>
      <c r="E156" s="107" t="s">
        <v>1000</v>
      </c>
      <c r="F156" s="107" t="s">
        <v>999</v>
      </c>
      <c r="G156" s="56">
        <v>280.0</v>
      </c>
      <c r="H156" s="160">
        <v>164989.4</v>
      </c>
      <c r="I156" s="58">
        <v>31.0</v>
      </c>
      <c r="J156" s="57">
        <f t="shared" si="1"/>
        <v>5114671.4</v>
      </c>
      <c r="K156" s="57">
        <f>J156*51.8117352%</f>
        <v>2650000.002</v>
      </c>
      <c r="L156" s="57">
        <f t="shared" si="3"/>
        <v>2464671.398</v>
      </c>
      <c r="M156" s="65">
        <v>50000.0</v>
      </c>
      <c r="N156" s="160">
        <v>163468.8</v>
      </c>
    </row>
    <row r="157">
      <c r="A157" s="113">
        <v>155.0</v>
      </c>
      <c r="B157" s="107" t="s">
        <v>67</v>
      </c>
      <c r="C157" s="107" t="s">
        <v>69</v>
      </c>
      <c r="D157" s="107" t="s">
        <v>1006</v>
      </c>
      <c r="E157" s="107" t="s">
        <v>1007</v>
      </c>
      <c r="F157" s="107" t="s">
        <v>1006</v>
      </c>
      <c r="G157" s="116">
        <v>720.0</v>
      </c>
      <c r="H157" s="118">
        <v>373859.2</v>
      </c>
      <c r="I157" s="120">
        <v>28.0</v>
      </c>
      <c r="J157" s="118">
        <f t="shared" si="1"/>
        <v>10468057.6</v>
      </c>
      <c r="K157" s="118">
        <f>J157*54.5%</f>
        <v>5705091.392</v>
      </c>
      <c r="L157" s="118">
        <f t="shared" si="3"/>
        <v>4762966.208</v>
      </c>
      <c r="M157" s="127">
        <v>50000.0</v>
      </c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>
      <c r="A158" s="47">
        <v>156.0</v>
      </c>
      <c r="B158" s="50" t="s">
        <v>67</v>
      </c>
      <c r="C158" s="50" t="s">
        <v>69</v>
      </c>
      <c r="D158" s="50" t="s">
        <v>1019</v>
      </c>
      <c r="E158" s="50" t="s">
        <v>1020</v>
      </c>
      <c r="F158" s="50" t="s">
        <v>1019</v>
      </c>
      <c r="G158" s="56">
        <v>400.0</v>
      </c>
      <c r="H158" s="57">
        <v>217201.6</v>
      </c>
      <c r="I158" s="58">
        <v>31.0</v>
      </c>
      <c r="J158" s="57">
        <f t="shared" si="1"/>
        <v>6733249.6</v>
      </c>
      <c r="K158" s="57">
        <f t="shared" ref="K158:K166" si="14">J158*50%</f>
        <v>3366624.8</v>
      </c>
      <c r="L158" s="57">
        <f t="shared" si="3"/>
        <v>3366624.8</v>
      </c>
      <c r="M158" s="65">
        <v>50000.0</v>
      </c>
    </row>
    <row r="159">
      <c r="A159" s="47">
        <v>157.0</v>
      </c>
      <c r="B159" s="50" t="s">
        <v>67</v>
      </c>
      <c r="C159" s="50" t="s">
        <v>69</v>
      </c>
      <c r="D159" s="50" t="s">
        <v>1027</v>
      </c>
      <c r="E159" s="50" t="s">
        <v>1028</v>
      </c>
      <c r="F159" s="50" t="s">
        <v>1027</v>
      </c>
      <c r="G159" s="56">
        <v>300.0</v>
      </c>
      <c r="H159" s="57">
        <v>170280.0</v>
      </c>
      <c r="I159" s="58">
        <v>31.0</v>
      </c>
      <c r="J159" s="57">
        <f t="shared" si="1"/>
        <v>5278680</v>
      </c>
      <c r="K159" s="57">
        <f t="shared" si="14"/>
        <v>2639340</v>
      </c>
      <c r="L159" s="57">
        <f t="shared" si="3"/>
        <v>2639340</v>
      </c>
      <c r="M159" s="65">
        <v>50000.0</v>
      </c>
    </row>
    <row r="160">
      <c r="A160" s="47">
        <v>158.0</v>
      </c>
      <c r="B160" s="50" t="s">
        <v>67</v>
      </c>
      <c r="C160" s="50" t="s">
        <v>69</v>
      </c>
      <c r="D160" s="50" t="s">
        <v>313</v>
      </c>
      <c r="E160" s="50" t="s">
        <v>1034</v>
      </c>
      <c r="F160" s="50" t="s">
        <v>313</v>
      </c>
      <c r="G160" s="56">
        <v>270.0</v>
      </c>
      <c r="H160" s="57">
        <v>157414.4</v>
      </c>
      <c r="I160" s="58">
        <v>31.0</v>
      </c>
      <c r="J160" s="57">
        <f t="shared" si="1"/>
        <v>4879846.4</v>
      </c>
      <c r="K160" s="57">
        <f t="shared" si="14"/>
        <v>2439923.2</v>
      </c>
      <c r="L160" s="57">
        <f t="shared" si="3"/>
        <v>2439923.2</v>
      </c>
      <c r="M160" s="65">
        <v>50000.0</v>
      </c>
    </row>
    <row r="161">
      <c r="A161" s="47">
        <v>159.0</v>
      </c>
      <c r="B161" s="50" t="s">
        <v>67</v>
      </c>
      <c r="C161" s="50" t="s">
        <v>69</v>
      </c>
      <c r="D161" s="50" t="s">
        <v>313</v>
      </c>
      <c r="E161" s="50" t="s">
        <v>1037</v>
      </c>
      <c r="F161" s="50" t="s">
        <v>1038</v>
      </c>
      <c r="G161" s="56">
        <v>280.0</v>
      </c>
      <c r="H161" s="57">
        <v>161955.2</v>
      </c>
      <c r="I161" s="58">
        <v>31.0</v>
      </c>
      <c r="J161" s="57">
        <f t="shared" si="1"/>
        <v>5020611.2</v>
      </c>
      <c r="K161" s="57">
        <f t="shared" si="14"/>
        <v>2510305.6</v>
      </c>
      <c r="L161" s="57">
        <f t="shared" si="3"/>
        <v>2510305.6</v>
      </c>
      <c r="M161" s="65">
        <v>50000.0</v>
      </c>
    </row>
    <row r="162">
      <c r="A162" s="47">
        <v>160.0</v>
      </c>
      <c r="B162" s="50" t="s">
        <v>67</v>
      </c>
      <c r="C162" s="50" t="s">
        <v>69</v>
      </c>
      <c r="D162" s="50" t="s">
        <v>313</v>
      </c>
      <c r="E162" s="50" t="s">
        <v>1040</v>
      </c>
      <c r="F162" s="50" t="s">
        <v>1041</v>
      </c>
      <c r="G162" s="56">
        <v>260.0</v>
      </c>
      <c r="H162" s="57">
        <v>152873.6</v>
      </c>
      <c r="I162" s="58">
        <v>31.0</v>
      </c>
      <c r="J162" s="57">
        <f t="shared" si="1"/>
        <v>4739081.6</v>
      </c>
      <c r="K162" s="57">
        <f t="shared" si="14"/>
        <v>2369540.8</v>
      </c>
      <c r="L162" s="57">
        <f t="shared" si="3"/>
        <v>2369540.8</v>
      </c>
      <c r="M162" s="65">
        <v>50000.0</v>
      </c>
    </row>
    <row r="163">
      <c r="A163" s="47">
        <v>161.0</v>
      </c>
      <c r="B163" s="50" t="s">
        <v>67</v>
      </c>
      <c r="C163" s="50" t="s">
        <v>69</v>
      </c>
      <c r="D163" s="50" t="s">
        <v>217</v>
      </c>
      <c r="E163" s="50" t="s">
        <v>1043</v>
      </c>
      <c r="F163" s="50" t="s">
        <v>1044</v>
      </c>
      <c r="G163" s="56">
        <v>330.0</v>
      </c>
      <c r="H163" s="57">
        <v>186172.8</v>
      </c>
      <c r="I163" s="58">
        <v>31.0</v>
      </c>
      <c r="J163" s="57">
        <f t="shared" si="1"/>
        <v>5771356.8</v>
      </c>
      <c r="K163" s="57">
        <f t="shared" si="14"/>
        <v>2885678.4</v>
      </c>
      <c r="L163" s="57">
        <f t="shared" si="3"/>
        <v>2885678.4</v>
      </c>
      <c r="M163" s="65">
        <v>50000.0</v>
      </c>
    </row>
    <row r="164">
      <c r="A164" s="47">
        <v>162.0</v>
      </c>
      <c r="B164" s="50" t="s">
        <v>67</v>
      </c>
      <c r="C164" s="50" t="s">
        <v>69</v>
      </c>
      <c r="D164" s="50" t="s">
        <v>217</v>
      </c>
      <c r="E164" s="50" t="s">
        <v>1048</v>
      </c>
      <c r="F164" s="50" t="s">
        <v>1050</v>
      </c>
      <c r="G164" s="56">
        <v>270.0</v>
      </c>
      <c r="H164" s="57">
        <v>159684.8</v>
      </c>
      <c r="I164" s="58">
        <v>31.0</v>
      </c>
      <c r="J164" s="57">
        <f t="shared" si="1"/>
        <v>4950228.8</v>
      </c>
      <c r="K164" s="57">
        <f t="shared" si="14"/>
        <v>2475114.4</v>
      </c>
      <c r="L164" s="57">
        <f t="shared" si="3"/>
        <v>2475114.4</v>
      </c>
      <c r="M164" s="65">
        <v>50000.0</v>
      </c>
    </row>
    <row r="165">
      <c r="A165" s="47">
        <v>163.0</v>
      </c>
      <c r="B165" s="50" t="s">
        <v>67</v>
      </c>
      <c r="C165" s="50" t="s">
        <v>69</v>
      </c>
      <c r="D165" s="50" t="s">
        <v>217</v>
      </c>
      <c r="E165" s="50" t="s">
        <v>1051</v>
      </c>
      <c r="F165" s="50" t="s">
        <v>1052</v>
      </c>
      <c r="G165" s="56">
        <v>330.0</v>
      </c>
      <c r="H165" s="57">
        <v>186172.8</v>
      </c>
      <c r="I165" s="58">
        <v>31.0</v>
      </c>
      <c r="J165" s="57">
        <f t="shared" si="1"/>
        <v>5771356.8</v>
      </c>
      <c r="K165" s="57">
        <f t="shared" si="14"/>
        <v>2885678.4</v>
      </c>
      <c r="L165" s="57">
        <f t="shared" si="3"/>
        <v>2885678.4</v>
      </c>
      <c r="M165" s="65">
        <v>50000.0</v>
      </c>
    </row>
    <row r="166">
      <c r="A166" s="47">
        <v>164.0</v>
      </c>
      <c r="B166" s="50" t="s">
        <v>67</v>
      </c>
      <c r="C166" s="50" t="s">
        <v>69</v>
      </c>
      <c r="D166" s="50" t="s">
        <v>1056</v>
      </c>
      <c r="E166" s="50" t="s">
        <v>1057</v>
      </c>
      <c r="F166" s="50" t="s">
        <v>1056</v>
      </c>
      <c r="G166" s="56">
        <v>360.0</v>
      </c>
      <c r="H166" s="57">
        <v>199038.4</v>
      </c>
      <c r="I166" s="58">
        <v>31.0</v>
      </c>
      <c r="J166" s="57">
        <f t="shared" si="1"/>
        <v>6170190.4</v>
      </c>
      <c r="K166" s="57">
        <f t="shared" si="14"/>
        <v>3085095.2</v>
      </c>
      <c r="L166" s="57">
        <f t="shared" si="3"/>
        <v>3085095.2</v>
      </c>
      <c r="M166" s="65">
        <v>50000.0</v>
      </c>
    </row>
    <row r="167">
      <c r="A167" s="47">
        <v>165.0</v>
      </c>
      <c r="B167" s="50" t="s">
        <v>67</v>
      </c>
      <c r="C167" s="50" t="s">
        <v>69</v>
      </c>
      <c r="D167" s="50" t="s">
        <v>219</v>
      </c>
      <c r="E167" s="107" t="s">
        <v>1064</v>
      </c>
      <c r="F167" s="50" t="s">
        <v>219</v>
      </c>
      <c r="G167" s="56">
        <v>320.0</v>
      </c>
      <c r="H167" s="297">
        <v>182476.8</v>
      </c>
      <c r="I167" s="58">
        <v>31.0</v>
      </c>
      <c r="J167" s="57">
        <f t="shared" si="1"/>
        <v>5656780.8</v>
      </c>
      <c r="K167" s="57">
        <f>J167*55%</f>
        <v>3111229.44</v>
      </c>
      <c r="L167" s="57">
        <f t="shared" si="3"/>
        <v>2545551.36</v>
      </c>
      <c r="M167" s="65">
        <v>50000.0</v>
      </c>
    </row>
  </sheetData>
  <mergeCells count="8">
    <mergeCell ref="A1:A2"/>
    <mergeCell ref="B1:B2"/>
    <mergeCell ref="C1:C2"/>
    <mergeCell ref="D1:D2"/>
    <mergeCell ref="E1:E2"/>
    <mergeCell ref="F1:F2"/>
    <mergeCell ref="G1:G2"/>
    <mergeCell ref="I1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1" width="12.88"/>
    <col customWidth="1" min="12" max="13" width="13.88"/>
    <col customWidth="1" min="16" max="16" width="12.88"/>
    <col customWidth="1" min="18" max="18" width="13.88"/>
  </cols>
  <sheetData>
    <row r="1">
      <c r="A1" s="7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>
      <c r="A2" s="16"/>
      <c r="B2" s="20" t="s">
        <v>0</v>
      </c>
      <c r="C2" s="20" t="s">
        <v>25</v>
      </c>
      <c r="D2" s="20" t="s">
        <v>27</v>
      </c>
      <c r="E2" s="20" t="s">
        <v>28</v>
      </c>
      <c r="F2" s="20" t="s">
        <v>30</v>
      </c>
      <c r="G2" s="24" t="s">
        <v>31</v>
      </c>
      <c r="H2" s="24" t="s">
        <v>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>
      <c r="A3" s="16"/>
      <c r="B3" s="25"/>
      <c r="C3" s="25"/>
      <c r="D3" s="25"/>
      <c r="E3" s="25"/>
      <c r="F3" s="25"/>
      <c r="G3" s="25"/>
      <c r="H3" s="25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>
      <c r="A4" s="16"/>
      <c r="B4" s="27"/>
      <c r="C4" s="27"/>
      <c r="D4" s="27"/>
      <c r="E4" s="27"/>
      <c r="F4" s="27"/>
      <c r="G4" s="27"/>
      <c r="H4" s="27"/>
      <c r="I4" s="7"/>
      <c r="J4" s="29"/>
      <c r="K4" s="30"/>
      <c r="L4" s="29"/>
      <c r="M4" s="29"/>
      <c r="N4" s="33"/>
      <c r="O4" s="29"/>
      <c r="P4" s="29"/>
      <c r="Q4" s="29"/>
      <c r="R4" s="29"/>
      <c r="S4" s="29"/>
    </row>
    <row r="5">
      <c r="A5" s="35"/>
      <c r="B5" s="38" t="s">
        <v>51</v>
      </c>
      <c r="C5" s="39"/>
      <c r="D5" s="39"/>
      <c r="E5" s="39"/>
      <c r="F5" s="39"/>
      <c r="G5" s="31"/>
      <c r="H5" s="41"/>
      <c r="I5" s="7"/>
      <c r="J5" s="7"/>
    </row>
    <row r="6">
      <c r="A6" s="35"/>
      <c r="B6" s="42"/>
      <c r="C6" s="43" t="s">
        <v>60</v>
      </c>
      <c r="D6" s="45" t="s">
        <v>61</v>
      </c>
      <c r="E6" s="46" t="s">
        <v>63</v>
      </c>
      <c r="F6" s="45" t="s">
        <v>65</v>
      </c>
      <c r="G6" s="48">
        <v>214500.0</v>
      </c>
      <c r="H6" s="48">
        <v>65000.0</v>
      </c>
      <c r="I6" s="7"/>
      <c r="J6" s="51"/>
      <c r="K6" s="51"/>
      <c r="L6" s="51"/>
      <c r="M6" s="51"/>
      <c r="N6" s="53"/>
      <c r="O6" s="54"/>
      <c r="P6" s="54"/>
      <c r="Q6" s="54"/>
      <c r="R6" s="51"/>
      <c r="S6" s="53"/>
    </row>
    <row r="7">
      <c r="A7" s="35"/>
      <c r="B7" s="42"/>
      <c r="C7" s="43" t="s">
        <v>60</v>
      </c>
      <c r="D7" s="45" t="s">
        <v>61</v>
      </c>
      <c r="E7" s="46" t="s">
        <v>75</v>
      </c>
      <c r="F7" s="45" t="s">
        <v>76</v>
      </c>
      <c r="G7" s="48">
        <v>196482.0</v>
      </c>
      <c r="H7" s="48">
        <v>60000.0</v>
      </c>
      <c r="I7" s="7"/>
      <c r="J7" s="51"/>
      <c r="K7" s="51"/>
      <c r="L7" s="51"/>
      <c r="M7" s="51"/>
      <c r="N7" s="53"/>
      <c r="O7" s="54"/>
      <c r="P7" s="54"/>
      <c r="Q7" s="54"/>
      <c r="R7" s="51"/>
      <c r="S7" s="53"/>
    </row>
    <row r="8">
      <c r="A8" s="35"/>
      <c r="B8" s="42"/>
      <c r="C8" s="43" t="s">
        <v>60</v>
      </c>
      <c r="D8" s="45" t="s">
        <v>61</v>
      </c>
      <c r="E8" s="46" t="s">
        <v>78</v>
      </c>
      <c r="F8" s="45" t="s">
        <v>79</v>
      </c>
      <c r="G8" s="48">
        <v>202800.0</v>
      </c>
      <c r="H8" s="48">
        <v>60000.0</v>
      </c>
      <c r="I8" s="7"/>
      <c r="J8" s="51"/>
      <c r="K8" s="51"/>
      <c r="L8" s="51"/>
      <c r="M8" s="51"/>
      <c r="N8" s="53"/>
      <c r="O8" s="54"/>
      <c r="P8" s="54"/>
      <c r="Q8" s="54"/>
      <c r="R8" s="51"/>
      <c r="S8" s="53"/>
    </row>
    <row r="9">
      <c r="A9" s="35"/>
      <c r="B9" s="42"/>
      <c r="C9" s="43" t="s">
        <v>60</v>
      </c>
      <c r="D9" s="45" t="s">
        <v>61</v>
      </c>
      <c r="E9" s="46" t="s">
        <v>81</v>
      </c>
      <c r="F9" s="45" t="s">
        <v>82</v>
      </c>
      <c r="G9" s="48">
        <v>199680.0</v>
      </c>
      <c r="H9" s="48">
        <v>60000.0</v>
      </c>
      <c r="I9" s="7"/>
      <c r="J9" s="51"/>
      <c r="K9" s="51"/>
      <c r="L9" s="51"/>
      <c r="M9" s="51"/>
      <c r="N9" s="53"/>
      <c r="O9" s="54"/>
      <c r="P9" s="54"/>
      <c r="Q9" s="54"/>
      <c r="R9" s="51"/>
      <c r="S9" s="53"/>
    </row>
    <row r="10">
      <c r="A10" s="35"/>
      <c r="B10" s="42"/>
      <c r="C10" s="43" t="s">
        <v>83</v>
      </c>
      <c r="D10" s="45" t="s">
        <v>84</v>
      </c>
      <c r="E10" s="46" t="s">
        <v>85</v>
      </c>
      <c r="F10" s="45" t="s">
        <v>86</v>
      </c>
      <c r="G10" s="48">
        <v>151086.0</v>
      </c>
      <c r="H10" s="48">
        <v>45000.0</v>
      </c>
      <c r="I10" s="7"/>
      <c r="J10" s="51"/>
      <c r="K10" s="51"/>
      <c r="L10" s="51"/>
      <c r="M10" s="51"/>
      <c r="N10" s="53"/>
      <c r="O10" s="54"/>
      <c r="P10" s="54"/>
      <c r="Q10" s="54"/>
      <c r="R10" s="51"/>
      <c r="S10" s="53"/>
    </row>
    <row r="11">
      <c r="A11" s="35"/>
      <c r="B11" s="42"/>
      <c r="C11" s="73" t="s">
        <v>83</v>
      </c>
      <c r="D11" s="74" t="s">
        <v>84</v>
      </c>
      <c r="E11" s="75" t="s">
        <v>92</v>
      </c>
      <c r="F11" s="74" t="s">
        <v>93</v>
      </c>
      <c r="G11" s="76">
        <v>165360.0</v>
      </c>
      <c r="H11" s="76">
        <v>50000.0</v>
      </c>
      <c r="I11" s="7"/>
      <c r="J11" s="51"/>
      <c r="K11" s="51"/>
      <c r="L11" s="51"/>
      <c r="M11" s="51"/>
      <c r="N11" s="53"/>
      <c r="O11" s="54"/>
      <c r="P11" s="54"/>
      <c r="Q11" s="54"/>
      <c r="R11" s="51"/>
      <c r="S11" s="53"/>
    </row>
    <row r="12">
      <c r="A12" s="35"/>
      <c r="B12" s="42"/>
      <c r="C12" s="43" t="s">
        <v>83</v>
      </c>
      <c r="D12" s="45" t="s">
        <v>84</v>
      </c>
      <c r="E12" s="46" t="s">
        <v>97</v>
      </c>
      <c r="F12" s="45" t="s">
        <v>98</v>
      </c>
      <c r="G12" s="48">
        <v>151866.0</v>
      </c>
      <c r="H12" s="48">
        <v>45000.0</v>
      </c>
      <c r="I12" s="7"/>
      <c r="J12" s="51"/>
      <c r="K12" s="51"/>
      <c r="L12" s="51"/>
      <c r="M12" s="51"/>
      <c r="N12" s="53"/>
      <c r="O12" s="54"/>
      <c r="P12" s="54"/>
      <c r="Q12" s="54"/>
      <c r="R12" s="51"/>
      <c r="S12" s="53"/>
    </row>
    <row r="13">
      <c r="A13" s="35"/>
      <c r="B13" s="42"/>
      <c r="C13" s="43" t="s">
        <v>83</v>
      </c>
      <c r="D13" s="45" t="s">
        <v>84</v>
      </c>
      <c r="E13" s="46" t="s">
        <v>101</v>
      </c>
      <c r="F13" s="45" t="s">
        <v>102</v>
      </c>
      <c r="G13" s="48">
        <v>150866.0</v>
      </c>
      <c r="H13" s="48">
        <v>45000.0</v>
      </c>
      <c r="I13" s="7"/>
      <c r="J13" s="51"/>
      <c r="K13" s="51"/>
      <c r="L13" s="51"/>
      <c r="M13" s="51"/>
      <c r="N13" s="53"/>
      <c r="O13" s="54"/>
      <c r="P13" s="54"/>
      <c r="Q13" s="54"/>
      <c r="R13" s="51"/>
      <c r="S13" s="53"/>
    </row>
    <row r="14">
      <c r="A14" s="35"/>
      <c r="B14" s="42"/>
      <c r="C14" s="43" t="s">
        <v>83</v>
      </c>
      <c r="D14" s="45" t="s">
        <v>84</v>
      </c>
      <c r="E14" s="46" t="s">
        <v>107</v>
      </c>
      <c r="F14" s="45" t="s">
        <v>108</v>
      </c>
      <c r="G14" s="48">
        <v>171600.0</v>
      </c>
      <c r="H14" s="48">
        <v>50000.0</v>
      </c>
      <c r="I14" s="7"/>
      <c r="J14" s="51"/>
      <c r="K14" s="51"/>
      <c r="L14" s="51"/>
      <c r="M14" s="51"/>
      <c r="N14" s="53"/>
      <c r="O14" s="54"/>
      <c r="P14" s="54"/>
      <c r="Q14" s="54"/>
      <c r="R14" s="51"/>
      <c r="S14" s="53"/>
    </row>
    <row r="15">
      <c r="A15" s="35"/>
      <c r="B15" s="42"/>
      <c r="C15" s="43" t="s">
        <v>110</v>
      </c>
      <c r="D15" s="45" t="s">
        <v>112</v>
      </c>
      <c r="E15" s="46" t="s">
        <v>115</v>
      </c>
      <c r="F15" s="45" t="s">
        <v>116</v>
      </c>
      <c r="G15" s="48">
        <v>209118.0</v>
      </c>
      <c r="H15" s="48">
        <v>60000.0</v>
      </c>
      <c r="I15" s="7"/>
      <c r="J15" s="51"/>
      <c r="K15" s="51"/>
      <c r="L15" s="51"/>
      <c r="M15" s="51"/>
      <c r="N15" s="53"/>
      <c r="O15" s="54"/>
      <c r="P15" s="54"/>
      <c r="Q15" s="54"/>
      <c r="R15" s="51"/>
      <c r="S15" s="53"/>
    </row>
    <row r="16">
      <c r="A16" s="35"/>
      <c r="B16" s="42"/>
      <c r="C16" s="43" t="s">
        <v>117</v>
      </c>
      <c r="D16" s="45" t="s">
        <v>118</v>
      </c>
      <c r="E16" s="46" t="s">
        <v>119</v>
      </c>
      <c r="F16" s="45" t="s">
        <v>120</v>
      </c>
      <c r="G16" s="48">
        <v>218634.0</v>
      </c>
      <c r="H16" s="48">
        <v>65000.0</v>
      </c>
      <c r="I16" s="7"/>
      <c r="J16" s="51"/>
      <c r="K16" s="51"/>
      <c r="L16" s="51"/>
      <c r="M16" s="51"/>
      <c r="N16" s="53"/>
      <c r="O16" s="54"/>
      <c r="P16" s="54"/>
      <c r="Q16" s="54"/>
      <c r="R16" s="51"/>
      <c r="S16" s="53"/>
    </row>
    <row r="17">
      <c r="A17" s="35"/>
      <c r="B17" s="42"/>
      <c r="C17" s="43" t="s">
        <v>126</v>
      </c>
      <c r="D17" s="45" t="s">
        <v>127</v>
      </c>
      <c r="E17" s="46" t="s">
        <v>128</v>
      </c>
      <c r="F17" s="45" t="s">
        <v>129</v>
      </c>
      <c r="G17" s="48">
        <v>261378.0</v>
      </c>
      <c r="H17" s="48">
        <v>80000.0</v>
      </c>
      <c r="I17" s="7"/>
      <c r="J17" s="51"/>
      <c r="K17" s="51"/>
      <c r="L17" s="51"/>
      <c r="M17" s="51"/>
      <c r="N17" s="53"/>
      <c r="O17" s="54"/>
      <c r="P17" s="54"/>
      <c r="Q17" s="54"/>
      <c r="R17" s="51"/>
      <c r="S17" s="53"/>
    </row>
    <row r="18">
      <c r="A18" s="35"/>
      <c r="B18" s="42"/>
      <c r="C18" s="43" t="s">
        <v>134</v>
      </c>
      <c r="D18" s="45" t="s">
        <v>135</v>
      </c>
      <c r="E18" s="46" t="s">
        <v>137</v>
      </c>
      <c r="F18" s="45" t="s">
        <v>138</v>
      </c>
      <c r="G18" s="48">
        <v>159822.0</v>
      </c>
      <c r="H18" s="48">
        <v>50000.0</v>
      </c>
      <c r="I18" s="7"/>
      <c r="J18" s="51"/>
      <c r="K18" s="51"/>
      <c r="L18" s="51"/>
      <c r="M18" s="51"/>
      <c r="N18" s="53"/>
      <c r="O18" s="54"/>
      <c r="P18" s="54"/>
      <c r="Q18" s="54"/>
      <c r="R18" s="51"/>
      <c r="S18" s="53"/>
    </row>
    <row r="19">
      <c r="A19" s="35"/>
      <c r="B19" s="42"/>
      <c r="C19" s="43" t="s">
        <v>134</v>
      </c>
      <c r="D19" s="45" t="s">
        <v>139</v>
      </c>
      <c r="E19" s="46" t="s">
        <v>140</v>
      </c>
      <c r="F19" s="45" t="s">
        <v>141</v>
      </c>
      <c r="G19" s="48">
        <v>155454.0</v>
      </c>
      <c r="H19" s="48">
        <v>45000.0</v>
      </c>
      <c r="I19" s="7"/>
      <c r="J19" s="51"/>
      <c r="K19" s="51"/>
      <c r="L19" s="51"/>
      <c r="M19" s="51"/>
      <c r="N19" s="53"/>
      <c r="O19" s="54"/>
      <c r="P19" s="54"/>
      <c r="Q19" s="54"/>
      <c r="R19" s="51"/>
      <c r="S19" s="53"/>
    </row>
    <row r="20">
      <c r="A20" s="35"/>
      <c r="B20" s="42"/>
      <c r="C20" s="43" t="s">
        <v>134</v>
      </c>
      <c r="D20" s="45" t="s">
        <v>135</v>
      </c>
      <c r="E20" s="46" t="s">
        <v>146</v>
      </c>
      <c r="F20" s="45" t="s">
        <v>147</v>
      </c>
      <c r="G20" s="48">
        <v>159822.0</v>
      </c>
      <c r="H20" s="48">
        <v>50000.0</v>
      </c>
      <c r="I20" s="7"/>
      <c r="J20" s="51"/>
      <c r="K20" s="51"/>
      <c r="L20" s="51"/>
      <c r="M20" s="51"/>
      <c r="N20" s="53"/>
      <c r="O20" s="54"/>
      <c r="P20" s="54"/>
      <c r="Q20" s="54"/>
      <c r="R20" s="51"/>
      <c r="S20" s="53"/>
    </row>
    <row r="21">
      <c r="A21" s="35"/>
      <c r="B21" s="42"/>
      <c r="C21" s="43" t="s">
        <v>148</v>
      </c>
      <c r="D21" s="45" t="s">
        <v>149</v>
      </c>
      <c r="E21" s="46" t="s">
        <v>150</v>
      </c>
      <c r="F21" s="45" t="s">
        <v>155</v>
      </c>
      <c r="G21" s="48">
        <v>151086.0</v>
      </c>
      <c r="H21" s="48">
        <v>45000.0</v>
      </c>
      <c r="I21" s="7"/>
      <c r="J21" s="51"/>
      <c r="K21" s="51"/>
      <c r="L21" s="51"/>
      <c r="M21" s="51"/>
      <c r="N21" s="53"/>
      <c r="O21" s="54"/>
      <c r="P21" s="54"/>
      <c r="Q21" s="54"/>
      <c r="R21" s="51"/>
      <c r="S21" s="53"/>
    </row>
    <row r="22">
      <c r="A22" s="35"/>
      <c r="B22" s="42"/>
      <c r="C22" s="43" t="s">
        <v>148</v>
      </c>
      <c r="D22" s="45" t="s">
        <v>149</v>
      </c>
      <c r="E22" s="46" t="s">
        <v>150</v>
      </c>
      <c r="F22" s="45" t="s">
        <v>159</v>
      </c>
      <c r="G22" s="48">
        <v>151086.0</v>
      </c>
      <c r="H22" s="48">
        <v>45000.0</v>
      </c>
      <c r="I22" s="7"/>
      <c r="J22" s="51"/>
      <c r="K22" s="51"/>
      <c r="L22" s="51"/>
      <c r="M22" s="51"/>
      <c r="N22" s="53"/>
      <c r="O22" s="54"/>
      <c r="P22" s="54"/>
      <c r="Q22" s="54"/>
      <c r="R22" s="51"/>
      <c r="S22" s="53"/>
    </row>
    <row r="23">
      <c r="A23" s="35"/>
      <c r="B23" s="42"/>
      <c r="C23" s="43" t="s">
        <v>160</v>
      </c>
      <c r="D23" s="45" t="s">
        <v>161</v>
      </c>
      <c r="E23" s="46" t="s">
        <v>163</v>
      </c>
      <c r="F23" s="45" t="s">
        <v>164</v>
      </c>
      <c r="G23" s="48">
        <v>169677.0</v>
      </c>
      <c r="H23" s="48">
        <v>50000.0</v>
      </c>
      <c r="I23" s="7"/>
      <c r="J23" s="51"/>
      <c r="K23" s="51"/>
      <c r="L23" s="51"/>
      <c r="M23" s="51"/>
      <c r="N23" s="53"/>
      <c r="O23" s="54"/>
      <c r="P23" s="54"/>
      <c r="Q23" s="54"/>
      <c r="R23" s="51"/>
      <c r="S23" s="53"/>
    </row>
    <row r="24">
      <c r="A24" s="35"/>
      <c r="B24" s="42"/>
      <c r="C24" s="73" t="s">
        <v>168</v>
      </c>
      <c r="D24" s="74" t="s">
        <v>170</v>
      </c>
      <c r="E24" s="75" t="s">
        <v>171</v>
      </c>
      <c r="F24" s="74" t="s">
        <v>172</v>
      </c>
      <c r="G24" s="76">
        <v>163410.0</v>
      </c>
      <c r="H24" s="76">
        <v>50000.0</v>
      </c>
      <c r="I24" s="7"/>
      <c r="J24" s="51"/>
      <c r="K24" s="51"/>
      <c r="L24" s="51"/>
      <c r="M24" s="51"/>
      <c r="N24" s="53"/>
      <c r="O24" s="54"/>
      <c r="P24" s="54"/>
      <c r="Q24" s="54"/>
      <c r="R24" s="51"/>
      <c r="S24" s="53"/>
    </row>
    <row r="25">
      <c r="A25" s="35"/>
      <c r="B25" s="42"/>
      <c r="C25" s="43" t="s">
        <v>177</v>
      </c>
      <c r="D25" s="45" t="s">
        <v>178</v>
      </c>
      <c r="E25" s="46" t="s">
        <v>179</v>
      </c>
      <c r="F25" s="45" t="s">
        <v>180</v>
      </c>
      <c r="G25" s="48">
        <v>179400.0</v>
      </c>
      <c r="H25" s="48">
        <v>55000.0</v>
      </c>
      <c r="I25" s="7"/>
      <c r="J25" s="51"/>
      <c r="K25" s="51"/>
      <c r="L25" s="51"/>
      <c r="M25" s="51"/>
      <c r="N25" s="53"/>
      <c r="O25" s="54"/>
      <c r="P25" s="54"/>
      <c r="Q25" s="54"/>
      <c r="R25" s="51"/>
      <c r="S25" s="53"/>
    </row>
    <row r="26">
      <c r="A26" s="35"/>
      <c r="B26" s="42"/>
      <c r="C26" s="73" t="s">
        <v>182</v>
      </c>
      <c r="D26" s="74" t="s">
        <v>183</v>
      </c>
      <c r="E26" s="75" t="s">
        <v>184</v>
      </c>
      <c r="F26" s="74" t="s">
        <v>185</v>
      </c>
      <c r="G26" s="76">
        <v>133224.0</v>
      </c>
      <c r="H26" s="76">
        <v>40000.0</v>
      </c>
      <c r="I26" s="7"/>
      <c r="J26" s="51"/>
      <c r="K26" s="51"/>
      <c r="L26" s="51"/>
      <c r="M26" s="51"/>
      <c r="N26" s="53"/>
      <c r="O26" s="54"/>
      <c r="P26" s="54"/>
      <c r="Q26" s="54"/>
      <c r="R26" s="51"/>
      <c r="S26" s="53"/>
    </row>
    <row r="27">
      <c r="A27" s="35"/>
      <c r="B27" s="42"/>
      <c r="C27" s="43" t="s">
        <v>190</v>
      </c>
      <c r="D27" s="45" t="s">
        <v>191</v>
      </c>
      <c r="E27" s="46" t="s">
        <v>192</v>
      </c>
      <c r="F27" s="45" t="s">
        <v>193</v>
      </c>
      <c r="G27" s="48">
        <v>173672.0</v>
      </c>
      <c r="H27" s="48">
        <v>50000.0</v>
      </c>
      <c r="I27" s="7"/>
      <c r="J27" s="51"/>
      <c r="K27" s="51"/>
      <c r="L27" s="51"/>
      <c r="M27" s="51"/>
      <c r="N27" s="53"/>
      <c r="O27" s="54"/>
      <c r="P27" s="54"/>
      <c r="Q27" s="54"/>
      <c r="R27" s="51"/>
      <c r="S27" s="53"/>
    </row>
    <row r="28">
      <c r="A28" s="35"/>
      <c r="B28" s="42"/>
      <c r="C28" s="43" t="s">
        <v>190</v>
      </c>
      <c r="D28" s="45" t="s">
        <v>191</v>
      </c>
      <c r="E28" s="46" t="s">
        <v>196</v>
      </c>
      <c r="F28" s="45" t="s">
        <v>198</v>
      </c>
      <c r="G28" s="48">
        <v>177799.0</v>
      </c>
      <c r="H28" s="48">
        <v>50000.0</v>
      </c>
      <c r="I28" s="7"/>
      <c r="J28" s="51"/>
      <c r="K28" s="51"/>
      <c r="L28" s="51"/>
      <c r="M28" s="51"/>
      <c r="N28" s="53"/>
      <c r="O28" s="54"/>
      <c r="P28" s="54"/>
      <c r="Q28" s="54"/>
      <c r="R28" s="51"/>
      <c r="S28" s="53"/>
    </row>
    <row r="29">
      <c r="A29" s="35"/>
      <c r="B29" s="42"/>
      <c r="C29" s="43" t="s">
        <v>199</v>
      </c>
      <c r="D29" s="45" t="s">
        <v>200</v>
      </c>
      <c r="E29" s="46" t="s">
        <v>201</v>
      </c>
      <c r="F29" s="45" t="s">
        <v>202</v>
      </c>
      <c r="G29" s="48">
        <v>187400.0</v>
      </c>
      <c r="H29" s="48">
        <v>45000.0</v>
      </c>
      <c r="I29" s="7"/>
      <c r="J29" s="51"/>
      <c r="K29" s="51"/>
      <c r="L29" s="51"/>
      <c r="M29" s="51"/>
      <c r="N29" s="53"/>
      <c r="O29" s="54"/>
      <c r="P29" s="54"/>
      <c r="Q29" s="54"/>
      <c r="R29" s="51"/>
      <c r="S29" s="53"/>
    </row>
    <row r="30">
      <c r="A30" s="35"/>
      <c r="B30" s="42"/>
      <c r="C30" s="43" t="s">
        <v>208</v>
      </c>
      <c r="D30" s="45" t="s">
        <v>209</v>
      </c>
      <c r="E30" s="46" t="s">
        <v>210</v>
      </c>
      <c r="F30" s="45" t="s">
        <v>211</v>
      </c>
      <c r="G30" s="48">
        <v>148200.0</v>
      </c>
      <c r="H30" s="48">
        <v>45000.0</v>
      </c>
      <c r="I30" s="7"/>
      <c r="J30" s="51"/>
      <c r="K30" s="51"/>
      <c r="L30" s="51"/>
      <c r="M30" s="51"/>
      <c r="N30" s="53"/>
      <c r="O30" s="54"/>
      <c r="P30" s="54"/>
      <c r="Q30" s="54"/>
      <c r="R30" s="51"/>
      <c r="S30" s="53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>
      <c r="A33" s="7"/>
      <c r="B33" s="108" t="s">
        <v>0</v>
      </c>
      <c r="C33" s="109" t="s">
        <v>25</v>
      </c>
      <c r="D33" s="109" t="s">
        <v>27</v>
      </c>
      <c r="E33" s="109" t="s">
        <v>28</v>
      </c>
      <c r="F33" s="109" t="s">
        <v>30</v>
      </c>
      <c r="G33" s="110" t="s">
        <v>31</v>
      </c>
      <c r="H33" s="110" t="s">
        <v>4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>
      <c r="A34" s="7"/>
      <c r="B34" s="111"/>
      <c r="C34" s="25"/>
      <c r="D34" s="25"/>
      <c r="E34" s="25"/>
      <c r="F34" s="25"/>
      <c r="G34" s="25"/>
      <c r="H34" s="2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>
      <c r="A35" s="7"/>
      <c r="B35" s="112"/>
      <c r="C35" s="27"/>
      <c r="D35" s="27"/>
      <c r="E35" s="27"/>
      <c r="F35" s="27"/>
      <c r="G35" s="27"/>
      <c r="H35" s="27"/>
      <c r="I35" s="7"/>
      <c r="J35" s="114" t="s">
        <v>225</v>
      </c>
      <c r="K35" s="115" t="s">
        <v>230</v>
      </c>
      <c r="L35" s="117" t="s">
        <v>232</v>
      </c>
      <c r="M35" s="119" t="s">
        <v>234</v>
      </c>
      <c r="N35" s="121" t="s">
        <v>236</v>
      </c>
      <c r="O35" s="122" t="s">
        <v>237</v>
      </c>
      <c r="P35" s="123" t="s">
        <v>238</v>
      </c>
      <c r="Q35" s="124" t="s">
        <v>239</v>
      </c>
      <c r="R35" s="114" t="s">
        <v>240</v>
      </c>
      <c r="S35" s="126" t="s">
        <v>241</v>
      </c>
    </row>
    <row r="36">
      <c r="A36" s="7"/>
      <c r="B36" s="129" t="s">
        <v>242</v>
      </c>
      <c r="C36" s="39"/>
      <c r="D36" s="39"/>
      <c r="E36" s="39"/>
      <c r="F36" s="39"/>
      <c r="G36" s="31"/>
      <c r="H36" s="130"/>
      <c r="I36" s="7"/>
      <c r="J36" s="131"/>
      <c r="K36" s="132"/>
      <c r="L36" s="132"/>
      <c r="M36" s="132"/>
      <c r="N36" s="132"/>
      <c r="O36" s="132"/>
      <c r="P36" s="132"/>
      <c r="Q36" s="132"/>
      <c r="R36" s="132"/>
      <c r="S36" s="133"/>
    </row>
    <row r="37">
      <c r="A37" s="7"/>
      <c r="B37" s="134"/>
      <c r="C37" s="43" t="s">
        <v>60</v>
      </c>
      <c r="D37" s="45" t="s">
        <v>61</v>
      </c>
      <c r="E37" s="46" t="s">
        <v>63</v>
      </c>
      <c r="F37" s="45" t="s">
        <v>65</v>
      </c>
      <c r="G37" s="48">
        <v>199485.0</v>
      </c>
      <c r="H37" s="48">
        <v>65000.0</v>
      </c>
      <c r="I37" s="7"/>
      <c r="J37" s="138">
        <f t="shared" ref="J37:J61" si="1">5%*G6</f>
        <v>10725</v>
      </c>
      <c r="K37" s="138">
        <f t="shared" ref="K37:K61" si="2">2%*G6</f>
        <v>4290</v>
      </c>
      <c r="L37" s="139">
        <f t="shared" ref="L37:L61" si="3">31*K37</f>
        <v>132990</v>
      </c>
      <c r="M37" s="140">
        <f t="shared" ref="M37:M61" si="4">G6-J37-K37</f>
        <v>199485</v>
      </c>
      <c r="N37" s="141">
        <v>65000.0</v>
      </c>
      <c r="O37" s="142">
        <f t="shared" ref="O37:O61" si="5">M37*31</f>
        <v>6184035</v>
      </c>
      <c r="P37" s="144">
        <f>57.40589%*O37</f>
        <v>3550000.33</v>
      </c>
      <c r="Q37" s="142">
        <f t="shared" ref="Q37:Q61" si="6">O37-P37</f>
        <v>2634034.67</v>
      </c>
      <c r="R37" s="138">
        <f t="shared" ref="R37:R61" si="7">J37*31</f>
        <v>332475</v>
      </c>
      <c r="S37" s="146">
        <f t="shared" ref="S37:S61" si="8">Q37+R37</f>
        <v>2966509.67</v>
      </c>
    </row>
    <row r="38">
      <c r="A38" s="7"/>
      <c r="B38" s="134"/>
      <c r="C38" s="43" t="s">
        <v>60</v>
      </c>
      <c r="D38" s="45" t="s">
        <v>61</v>
      </c>
      <c r="E38" s="46" t="s">
        <v>75</v>
      </c>
      <c r="F38" s="45" t="s">
        <v>76</v>
      </c>
      <c r="G38" s="48">
        <v>182728.25999999998</v>
      </c>
      <c r="H38" s="48">
        <v>60000.0</v>
      </c>
      <c r="I38" s="7"/>
      <c r="J38" s="138">
        <f t="shared" si="1"/>
        <v>9824.1</v>
      </c>
      <c r="K38" s="138">
        <f t="shared" si="2"/>
        <v>3929.64</v>
      </c>
      <c r="L38" s="139">
        <f t="shared" si="3"/>
        <v>121818.84</v>
      </c>
      <c r="M38" s="140">
        <f t="shared" si="4"/>
        <v>182728.26</v>
      </c>
      <c r="N38" s="141">
        <v>60000.0</v>
      </c>
      <c r="O38" s="142">
        <f t="shared" si="5"/>
        <v>5664576.06</v>
      </c>
      <c r="P38" s="144">
        <f>59.13946%*O38</f>
        <v>3349999.693</v>
      </c>
      <c r="Q38" s="142">
        <f t="shared" si="6"/>
        <v>2314576.367</v>
      </c>
      <c r="R38" s="138">
        <f t="shared" si="7"/>
        <v>304547.1</v>
      </c>
      <c r="S38" s="146">
        <f t="shared" si="8"/>
        <v>2619123.467</v>
      </c>
    </row>
    <row r="39">
      <c r="A39" s="7"/>
      <c r="B39" s="134"/>
      <c r="C39" s="43" t="s">
        <v>60</v>
      </c>
      <c r="D39" s="45" t="s">
        <v>61</v>
      </c>
      <c r="E39" s="46" t="s">
        <v>78</v>
      </c>
      <c r="F39" s="45" t="s">
        <v>79</v>
      </c>
      <c r="G39" s="48">
        <v>188604.0</v>
      </c>
      <c r="H39" s="48">
        <v>60000.0</v>
      </c>
      <c r="I39" s="7"/>
      <c r="J39" s="138">
        <f t="shared" si="1"/>
        <v>10140</v>
      </c>
      <c r="K39" s="138">
        <f t="shared" si="2"/>
        <v>4056</v>
      </c>
      <c r="L39" s="139">
        <f t="shared" si="3"/>
        <v>125736</v>
      </c>
      <c r="M39" s="140">
        <f t="shared" si="4"/>
        <v>188604</v>
      </c>
      <c r="N39" s="141">
        <v>60000.0</v>
      </c>
      <c r="O39" s="142">
        <f t="shared" si="5"/>
        <v>5846724</v>
      </c>
      <c r="P39" s="144">
        <f>57.29705%*O39</f>
        <v>3350000.374</v>
      </c>
      <c r="Q39" s="142">
        <f t="shared" si="6"/>
        <v>2496723.626</v>
      </c>
      <c r="R39" s="138">
        <f t="shared" si="7"/>
        <v>314340</v>
      </c>
      <c r="S39" s="146">
        <f t="shared" si="8"/>
        <v>2811063.626</v>
      </c>
    </row>
    <row r="40">
      <c r="A40" s="7"/>
      <c r="B40" s="134"/>
      <c r="C40" s="43" t="s">
        <v>60</v>
      </c>
      <c r="D40" s="45" t="s">
        <v>61</v>
      </c>
      <c r="E40" s="46" t="s">
        <v>81</v>
      </c>
      <c r="F40" s="45" t="s">
        <v>82</v>
      </c>
      <c r="G40" s="48">
        <v>185702.4</v>
      </c>
      <c r="H40" s="48">
        <v>60000.0</v>
      </c>
      <c r="I40" s="7"/>
      <c r="J40" s="138">
        <f t="shared" si="1"/>
        <v>9984</v>
      </c>
      <c r="K40" s="138">
        <f t="shared" si="2"/>
        <v>3993.6</v>
      </c>
      <c r="L40" s="139">
        <f t="shared" si="3"/>
        <v>123801.6</v>
      </c>
      <c r="M40" s="140">
        <f t="shared" si="4"/>
        <v>185702.4</v>
      </c>
      <c r="N40" s="141">
        <v>60000.0</v>
      </c>
      <c r="O40" s="142">
        <f t="shared" si="5"/>
        <v>5756774.4</v>
      </c>
      <c r="P40" s="144">
        <f>58.19231%*O40</f>
        <v>3350000.005</v>
      </c>
      <c r="Q40" s="142">
        <f t="shared" si="6"/>
        <v>2406774.395</v>
      </c>
      <c r="R40" s="138">
        <f t="shared" si="7"/>
        <v>309504</v>
      </c>
      <c r="S40" s="146">
        <f t="shared" si="8"/>
        <v>2716278.395</v>
      </c>
    </row>
    <row r="41">
      <c r="A41" s="7"/>
      <c r="B41" s="134"/>
      <c r="C41" s="43" t="s">
        <v>83</v>
      </c>
      <c r="D41" s="45" t="s">
        <v>84</v>
      </c>
      <c r="E41" s="46" t="s">
        <v>85</v>
      </c>
      <c r="F41" s="45" t="s">
        <v>86</v>
      </c>
      <c r="G41" s="48">
        <v>140509.98</v>
      </c>
      <c r="H41" s="48">
        <v>45000.0</v>
      </c>
      <c r="I41" s="7"/>
      <c r="J41" s="138">
        <f t="shared" si="1"/>
        <v>7554.3</v>
      </c>
      <c r="K41" s="138">
        <f t="shared" si="2"/>
        <v>3021.72</v>
      </c>
      <c r="L41" s="139">
        <f t="shared" si="3"/>
        <v>93673.32</v>
      </c>
      <c r="M41" s="140">
        <f t="shared" si="4"/>
        <v>140509.98</v>
      </c>
      <c r="N41" s="141">
        <v>45000.0</v>
      </c>
      <c r="O41" s="142">
        <f t="shared" si="5"/>
        <v>4355809.38</v>
      </c>
      <c r="P41" s="153">
        <f>53.95093%*O41</f>
        <v>2349999.67</v>
      </c>
      <c r="Q41" s="142">
        <f t="shared" si="6"/>
        <v>2005809.71</v>
      </c>
      <c r="R41" s="138">
        <f t="shared" si="7"/>
        <v>234183.3</v>
      </c>
      <c r="S41" s="146">
        <f t="shared" si="8"/>
        <v>2239993.01</v>
      </c>
    </row>
    <row r="42">
      <c r="A42" s="7"/>
      <c r="B42" s="134"/>
      <c r="C42" s="43" t="s">
        <v>83</v>
      </c>
      <c r="D42" s="45" t="s">
        <v>84</v>
      </c>
      <c r="E42" s="46" t="s">
        <v>92</v>
      </c>
      <c r="F42" s="45" t="s">
        <v>93</v>
      </c>
      <c r="G42" s="76">
        <v>153784.8</v>
      </c>
      <c r="H42" s="48">
        <v>50000.0</v>
      </c>
      <c r="I42" s="7"/>
      <c r="J42" s="157">
        <f t="shared" si="1"/>
        <v>8268</v>
      </c>
      <c r="K42" s="138">
        <f t="shared" si="2"/>
        <v>3307.2</v>
      </c>
      <c r="L42" s="139">
        <f t="shared" si="3"/>
        <v>102523.2</v>
      </c>
      <c r="M42" s="140">
        <f t="shared" si="4"/>
        <v>153784.8</v>
      </c>
      <c r="N42" s="159">
        <v>50000.0</v>
      </c>
      <c r="O42" s="161">
        <f t="shared" si="5"/>
        <v>4767328.8</v>
      </c>
      <c r="P42" s="153">
        <f>55.58668%*O42</f>
        <v>2649999.805</v>
      </c>
      <c r="Q42" s="162">
        <f t="shared" si="6"/>
        <v>2117328.995</v>
      </c>
      <c r="R42" s="157">
        <f t="shared" si="7"/>
        <v>256308</v>
      </c>
      <c r="S42" s="159">
        <f t="shared" si="8"/>
        <v>2373636.995</v>
      </c>
    </row>
    <row r="43">
      <c r="A43" s="7"/>
      <c r="B43" s="134"/>
      <c r="C43" s="43" t="s">
        <v>83</v>
      </c>
      <c r="D43" s="45" t="s">
        <v>84</v>
      </c>
      <c r="E43" s="46" t="s">
        <v>97</v>
      </c>
      <c r="F43" s="45" t="s">
        <v>98</v>
      </c>
      <c r="G43" s="48">
        <v>141235.38</v>
      </c>
      <c r="H43" s="48">
        <v>45000.0</v>
      </c>
      <c r="I43" s="7"/>
      <c r="J43" s="138">
        <f t="shared" si="1"/>
        <v>7593.3</v>
      </c>
      <c r="K43" s="138">
        <f t="shared" si="2"/>
        <v>3037.32</v>
      </c>
      <c r="L43" s="139">
        <f t="shared" si="3"/>
        <v>94156.92</v>
      </c>
      <c r="M43" s="140">
        <f t="shared" si="4"/>
        <v>141235.38</v>
      </c>
      <c r="N43" s="141">
        <v>45000.0</v>
      </c>
      <c r="O43" s="142">
        <f t="shared" si="5"/>
        <v>4378296.78</v>
      </c>
      <c r="P43" s="153">
        <f>53.673831%*O43</f>
        <v>2349999.614</v>
      </c>
      <c r="Q43" s="142">
        <f t="shared" si="6"/>
        <v>2028297.166</v>
      </c>
      <c r="R43" s="138">
        <f t="shared" si="7"/>
        <v>235392.3</v>
      </c>
      <c r="S43" s="146">
        <f t="shared" si="8"/>
        <v>2263689.466</v>
      </c>
    </row>
    <row r="44">
      <c r="A44" s="7"/>
      <c r="B44" s="134"/>
      <c r="C44" s="43" t="s">
        <v>83</v>
      </c>
      <c r="D44" s="45" t="s">
        <v>84</v>
      </c>
      <c r="E44" s="46" t="s">
        <v>101</v>
      </c>
      <c r="F44" s="45" t="s">
        <v>102</v>
      </c>
      <c r="G44" s="48">
        <v>140305.38</v>
      </c>
      <c r="H44" s="48">
        <v>45000.0</v>
      </c>
      <c r="I44" s="7"/>
      <c r="J44" s="138">
        <f t="shared" si="1"/>
        <v>7543.3</v>
      </c>
      <c r="K44" s="138">
        <f t="shared" si="2"/>
        <v>3017.32</v>
      </c>
      <c r="L44" s="139">
        <f t="shared" si="3"/>
        <v>93536.92</v>
      </c>
      <c r="M44" s="140">
        <f t="shared" si="4"/>
        <v>140305.38</v>
      </c>
      <c r="N44" s="141">
        <v>45000.0</v>
      </c>
      <c r="O44" s="142">
        <f t="shared" si="5"/>
        <v>4349466.78</v>
      </c>
      <c r="P44" s="153">
        <f>54.0296%*O44</f>
        <v>2349999.503</v>
      </c>
      <c r="Q44" s="142">
        <f t="shared" si="6"/>
        <v>1999467.277</v>
      </c>
      <c r="R44" s="138">
        <f t="shared" si="7"/>
        <v>233842.3</v>
      </c>
      <c r="S44" s="146">
        <f t="shared" si="8"/>
        <v>2233309.577</v>
      </c>
    </row>
    <row r="45">
      <c r="A45" s="7"/>
      <c r="B45" s="134"/>
      <c r="C45" s="43" t="s">
        <v>83</v>
      </c>
      <c r="D45" s="45" t="s">
        <v>84</v>
      </c>
      <c r="E45" s="46" t="s">
        <v>107</v>
      </c>
      <c r="F45" s="45" t="s">
        <v>108</v>
      </c>
      <c r="G45" s="48">
        <v>159588.0</v>
      </c>
      <c r="H45" s="48">
        <v>50000.0</v>
      </c>
      <c r="I45" s="7"/>
      <c r="J45" s="138">
        <f t="shared" si="1"/>
        <v>8580</v>
      </c>
      <c r="K45" s="138">
        <f t="shared" si="2"/>
        <v>3432</v>
      </c>
      <c r="L45" s="139">
        <f t="shared" si="3"/>
        <v>106392</v>
      </c>
      <c r="M45" s="140">
        <f t="shared" si="4"/>
        <v>159588</v>
      </c>
      <c r="N45" s="141">
        <v>50000.0</v>
      </c>
      <c r="O45" s="142">
        <f t="shared" si="5"/>
        <v>4947228</v>
      </c>
      <c r="P45" s="153">
        <f>54.57601%*O45</f>
        <v>2699999.648</v>
      </c>
      <c r="Q45" s="142">
        <f t="shared" si="6"/>
        <v>2247228.352</v>
      </c>
      <c r="R45" s="138">
        <f t="shared" si="7"/>
        <v>265980</v>
      </c>
      <c r="S45" s="146">
        <f t="shared" si="8"/>
        <v>2513208.352</v>
      </c>
    </row>
    <row r="46">
      <c r="A46" s="7"/>
      <c r="B46" s="134"/>
      <c r="C46" s="43" t="s">
        <v>110</v>
      </c>
      <c r="D46" s="45" t="s">
        <v>112</v>
      </c>
      <c r="E46" s="46" t="s">
        <v>115</v>
      </c>
      <c r="F46" s="45" t="s">
        <v>116</v>
      </c>
      <c r="G46" s="48">
        <v>194479.74000000002</v>
      </c>
      <c r="H46" s="48">
        <v>60000.0</v>
      </c>
      <c r="I46" s="7"/>
      <c r="J46" s="138">
        <f t="shared" si="1"/>
        <v>10455.9</v>
      </c>
      <c r="K46" s="138">
        <f t="shared" si="2"/>
        <v>4182.36</v>
      </c>
      <c r="L46" s="139">
        <f t="shared" si="3"/>
        <v>129653.16</v>
      </c>
      <c r="M46" s="140">
        <f t="shared" si="4"/>
        <v>194479.74</v>
      </c>
      <c r="N46" s="141">
        <v>60000.0</v>
      </c>
      <c r="O46" s="142">
        <f t="shared" si="5"/>
        <v>6028871.94</v>
      </c>
      <c r="P46" s="168">
        <f>53.07792%*O46</f>
        <v>3199999.825</v>
      </c>
      <c r="Q46" s="142">
        <f t="shared" si="6"/>
        <v>2828872.115</v>
      </c>
      <c r="R46" s="138">
        <f t="shared" si="7"/>
        <v>324132.9</v>
      </c>
      <c r="S46" s="146">
        <f t="shared" si="8"/>
        <v>3153005.015</v>
      </c>
    </row>
    <row r="47">
      <c r="A47" s="7"/>
      <c r="B47" s="134"/>
      <c r="C47" s="43" t="s">
        <v>117</v>
      </c>
      <c r="D47" s="45" t="s">
        <v>118</v>
      </c>
      <c r="E47" s="46" t="s">
        <v>119</v>
      </c>
      <c r="F47" s="45" t="s">
        <v>120</v>
      </c>
      <c r="G47" s="48">
        <v>203329.62</v>
      </c>
      <c r="H47" s="48">
        <v>65000.0</v>
      </c>
      <c r="I47" s="7"/>
      <c r="J47" s="138">
        <f t="shared" si="1"/>
        <v>10931.7</v>
      </c>
      <c r="K47" s="138">
        <f t="shared" si="2"/>
        <v>4372.68</v>
      </c>
      <c r="L47" s="139">
        <f t="shared" si="3"/>
        <v>135553.08</v>
      </c>
      <c r="M47" s="140">
        <f t="shared" si="4"/>
        <v>203329.62</v>
      </c>
      <c r="N47" s="141">
        <v>65000.0</v>
      </c>
      <c r="O47" s="142">
        <f t="shared" si="5"/>
        <v>6303218.22</v>
      </c>
      <c r="P47" s="168">
        <f>53.9407%*O47</f>
        <v>3400000.03</v>
      </c>
      <c r="Q47" s="142">
        <f t="shared" si="6"/>
        <v>2903218.19</v>
      </c>
      <c r="R47" s="138">
        <f t="shared" si="7"/>
        <v>338882.7</v>
      </c>
      <c r="S47" s="146">
        <f t="shared" si="8"/>
        <v>3242100.89</v>
      </c>
    </row>
    <row r="48">
      <c r="A48" s="7"/>
      <c r="B48" s="134"/>
      <c r="C48" s="43" t="s">
        <v>126</v>
      </c>
      <c r="D48" s="45" t="s">
        <v>127</v>
      </c>
      <c r="E48" s="46" t="s">
        <v>128</v>
      </c>
      <c r="F48" s="45" t="s">
        <v>129</v>
      </c>
      <c r="G48" s="48">
        <v>243081.54</v>
      </c>
      <c r="H48" s="48">
        <v>80000.0</v>
      </c>
      <c r="I48" s="7"/>
      <c r="J48" s="138">
        <f t="shared" si="1"/>
        <v>13068.9</v>
      </c>
      <c r="K48" s="138">
        <f t="shared" si="2"/>
        <v>5227.56</v>
      </c>
      <c r="L48" s="139">
        <f t="shared" si="3"/>
        <v>162054.36</v>
      </c>
      <c r="M48" s="140">
        <f t="shared" si="4"/>
        <v>243081.54</v>
      </c>
      <c r="N48" s="141">
        <v>80000.0</v>
      </c>
      <c r="O48" s="142">
        <f t="shared" si="5"/>
        <v>7535527.74</v>
      </c>
      <c r="P48" s="153">
        <f>53.08188%*O48</f>
        <v>3999999.792</v>
      </c>
      <c r="Q48" s="142">
        <f t="shared" si="6"/>
        <v>3535527.948</v>
      </c>
      <c r="R48" s="138">
        <f t="shared" si="7"/>
        <v>405135.9</v>
      </c>
      <c r="S48" s="146">
        <f t="shared" si="8"/>
        <v>3940663.848</v>
      </c>
    </row>
    <row r="49">
      <c r="A49" s="7"/>
      <c r="B49" s="134"/>
      <c r="C49" s="43" t="s">
        <v>134</v>
      </c>
      <c r="D49" s="45" t="s">
        <v>135</v>
      </c>
      <c r="E49" s="46" t="s">
        <v>137</v>
      </c>
      <c r="F49" s="45" t="s">
        <v>138</v>
      </c>
      <c r="G49" s="48">
        <v>148634.46</v>
      </c>
      <c r="H49" s="48">
        <v>50000.0</v>
      </c>
      <c r="I49" s="7"/>
      <c r="J49" s="138">
        <f t="shared" si="1"/>
        <v>7991.1</v>
      </c>
      <c r="K49" s="138">
        <f t="shared" si="2"/>
        <v>3196.44</v>
      </c>
      <c r="L49" s="139">
        <f t="shared" si="3"/>
        <v>99089.64</v>
      </c>
      <c r="M49" s="140">
        <f t="shared" si="4"/>
        <v>148634.46</v>
      </c>
      <c r="N49" s="141">
        <v>50000.0</v>
      </c>
      <c r="O49" s="142">
        <f t="shared" si="5"/>
        <v>4607668.26</v>
      </c>
      <c r="P49" s="168">
        <f>56.42767%*O49</f>
        <v>2599999.84</v>
      </c>
      <c r="Q49" s="142">
        <f t="shared" si="6"/>
        <v>2007668.42</v>
      </c>
      <c r="R49" s="138">
        <f t="shared" si="7"/>
        <v>247724.1</v>
      </c>
      <c r="S49" s="146">
        <f t="shared" si="8"/>
        <v>2255392.52</v>
      </c>
    </row>
    <row r="50">
      <c r="A50" s="7"/>
      <c r="B50" s="134"/>
      <c r="C50" s="43" t="s">
        <v>134</v>
      </c>
      <c r="D50" s="45" t="s">
        <v>139</v>
      </c>
      <c r="E50" s="46" t="s">
        <v>140</v>
      </c>
      <c r="F50" s="45" t="s">
        <v>141</v>
      </c>
      <c r="G50" s="48">
        <v>144572.22</v>
      </c>
      <c r="H50" s="48">
        <v>45000.0</v>
      </c>
      <c r="I50" s="7"/>
      <c r="J50" s="138">
        <f t="shared" si="1"/>
        <v>7772.7</v>
      </c>
      <c r="K50" s="138">
        <f t="shared" si="2"/>
        <v>3109.08</v>
      </c>
      <c r="L50" s="139">
        <f t="shared" si="3"/>
        <v>96381.48</v>
      </c>
      <c r="M50" s="140">
        <f t="shared" si="4"/>
        <v>144572.22</v>
      </c>
      <c r="N50" s="141">
        <v>45000.0</v>
      </c>
      <c r="O50" s="142">
        <f t="shared" si="5"/>
        <v>4481738.82</v>
      </c>
      <c r="P50" s="153">
        <f>54.66628%*O50</f>
        <v>2449999.892</v>
      </c>
      <c r="Q50" s="142">
        <f t="shared" si="6"/>
        <v>2031738.928</v>
      </c>
      <c r="R50" s="138">
        <f t="shared" si="7"/>
        <v>240953.7</v>
      </c>
      <c r="S50" s="146">
        <f t="shared" si="8"/>
        <v>2272692.628</v>
      </c>
    </row>
    <row r="51">
      <c r="A51" s="7"/>
      <c r="B51" s="134"/>
      <c r="C51" s="43" t="s">
        <v>134</v>
      </c>
      <c r="D51" s="45" t="s">
        <v>135</v>
      </c>
      <c r="E51" s="46" t="s">
        <v>146</v>
      </c>
      <c r="F51" s="45" t="s">
        <v>147</v>
      </c>
      <c r="G51" s="48">
        <v>148634.46</v>
      </c>
      <c r="H51" s="48">
        <v>50000.0</v>
      </c>
      <c r="I51" s="7"/>
      <c r="J51" s="138">
        <f t="shared" si="1"/>
        <v>7991.1</v>
      </c>
      <c r="K51" s="138">
        <f t="shared" si="2"/>
        <v>3196.44</v>
      </c>
      <c r="L51" s="139">
        <f t="shared" si="3"/>
        <v>99089.64</v>
      </c>
      <c r="M51" s="140">
        <f t="shared" si="4"/>
        <v>148634.46</v>
      </c>
      <c r="N51" s="141">
        <v>50000.0</v>
      </c>
      <c r="O51" s="142">
        <f t="shared" si="5"/>
        <v>4607668.26</v>
      </c>
      <c r="P51" s="153">
        <f>54.25738%*O51</f>
        <v>2500000.077</v>
      </c>
      <c r="Q51" s="142">
        <f t="shared" si="6"/>
        <v>2107668.183</v>
      </c>
      <c r="R51" s="138">
        <f t="shared" si="7"/>
        <v>247724.1</v>
      </c>
      <c r="S51" s="146">
        <f t="shared" si="8"/>
        <v>2355392.283</v>
      </c>
    </row>
    <row r="52">
      <c r="A52" s="7"/>
      <c r="B52" s="134"/>
      <c r="C52" s="43" t="s">
        <v>148</v>
      </c>
      <c r="D52" s="45" t="s">
        <v>149</v>
      </c>
      <c r="E52" s="46" t="s">
        <v>150</v>
      </c>
      <c r="F52" s="45" t="s">
        <v>155</v>
      </c>
      <c r="G52" s="48">
        <v>140509.98</v>
      </c>
      <c r="H52" s="48">
        <v>45000.0</v>
      </c>
      <c r="I52" s="7"/>
      <c r="J52" s="138">
        <f t="shared" si="1"/>
        <v>7554.3</v>
      </c>
      <c r="K52" s="138">
        <f t="shared" si="2"/>
        <v>3021.72</v>
      </c>
      <c r="L52" s="139">
        <f t="shared" si="3"/>
        <v>93673.32</v>
      </c>
      <c r="M52" s="140">
        <f t="shared" si="4"/>
        <v>140509.98</v>
      </c>
      <c r="N52" s="141">
        <v>45000.0</v>
      </c>
      <c r="O52" s="142">
        <f t="shared" si="5"/>
        <v>4355809.38</v>
      </c>
      <c r="P52" s="153">
        <f t="shared" ref="P52:P53" si="9">52.80305%*O52</f>
        <v>2300000.205</v>
      </c>
      <c r="Q52" s="142">
        <f t="shared" si="6"/>
        <v>2055809.175</v>
      </c>
      <c r="R52" s="138">
        <f t="shared" si="7"/>
        <v>234183.3</v>
      </c>
      <c r="S52" s="146">
        <f t="shared" si="8"/>
        <v>2289992.475</v>
      </c>
    </row>
    <row r="53">
      <c r="A53" s="7"/>
      <c r="B53" s="134"/>
      <c r="C53" s="43" t="s">
        <v>148</v>
      </c>
      <c r="D53" s="45" t="s">
        <v>149</v>
      </c>
      <c r="E53" s="46" t="s">
        <v>150</v>
      </c>
      <c r="F53" s="45" t="s">
        <v>159</v>
      </c>
      <c r="G53" s="48">
        <v>140509.98</v>
      </c>
      <c r="H53" s="48">
        <v>45000.0</v>
      </c>
      <c r="I53" s="7"/>
      <c r="J53" s="138">
        <f t="shared" si="1"/>
        <v>7554.3</v>
      </c>
      <c r="K53" s="138">
        <f t="shared" si="2"/>
        <v>3021.72</v>
      </c>
      <c r="L53" s="139">
        <f t="shared" si="3"/>
        <v>93673.32</v>
      </c>
      <c r="M53" s="140">
        <f t="shared" si="4"/>
        <v>140509.98</v>
      </c>
      <c r="N53" s="141">
        <v>45000.0</v>
      </c>
      <c r="O53" s="142">
        <f t="shared" si="5"/>
        <v>4355809.38</v>
      </c>
      <c r="P53" s="153">
        <f t="shared" si="9"/>
        <v>2300000.205</v>
      </c>
      <c r="Q53" s="142">
        <f t="shared" si="6"/>
        <v>2055809.175</v>
      </c>
      <c r="R53" s="138">
        <f t="shared" si="7"/>
        <v>234183.3</v>
      </c>
      <c r="S53" s="146">
        <f t="shared" si="8"/>
        <v>2289992.475</v>
      </c>
    </row>
    <row r="54">
      <c r="A54" s="7"/>
      <c r="B54" s="134"/>
      <c r="C54" s="43" t="s">
        <v>160</v>
      </c>
      <c r="D54" s="45" t="s">
        <v>161</v>
      </c>
      <c r="E54" s="46" t="s">
        <v>163</v>
      </c>
      <c r="F54" s="45" t="s">
        <v>164</v>
      </c>
      <c r="G54" s="48">
        <v>157799.61</v>
      </c>
      <c r="H54" s="48">
        <v>50000.0</v>
      </c>
      <c r="I54" s="7"/>
      <c r="J54" s="138">
        <f t="shared" si="1"/>
        <v>8483.85</v>
      </c>
      <c r="K54" s="138">
        <f t="shared" si="2"/>
        <v>3393.54</v>
      </c>
      <c r="L54" s="139">
        <f t="shared" si="3"/>
        <v>105199.74</v>
      </c>
      <c r="M54" s="140">
        <f t="shared" si="4"/>
        <v>157799.61</v>
      </c>
      <c r="N54" s="141">
        <v>50000.0</v>
      </c>
      <c r="O54" s="142">
        <f t="shared" si="5"/>
        <v>4891787.91</v>
      </c>
      <c r="P54" s="153">
        <f>53.1503%*O54</f>
        <v>2599999.95</v>
      </c>
      <c r="Q54" s="142">
        <f t="shared" si="6"/>
        <v>2291787.96</v>
      </c>
      <c r="R54" s="138">
        <f t="shared" si="7"/>
        <v>262999.35</v>
      </c>
      <c r="S54" s="146">
        <f t="shared" si="8"/>
        <v>2554787.31</v>
      </c>
    </row>
    <row r="55">
      <c r="A55" s="7"/>
      <c r="B55" s="134"/>
      <c r="C55" s="43" t="s">
        <v>168</v>
      </c>
      <c r="D55" s="45" t="s">
        <v>170</v>
      </c>
      <c r="E55" s="46" t="s">
        <v>171</v>
      </c>
      <c r="F55" s="45" t="s">
        <v>400</v>
      </c>
      <c r="G55" s="76">
        <v>151971.3</v>
      </c>
      <c r="H55" s="48">
        <v>50000.0</v>
      </c>
      <c r="I55" s="7"/>
      <c r="J55" s="157">
        <f t="shared" si="1"/>
        <v>8170.5</v>
      </c>
      <c r="K55" s="138">
        <f t="shared" si="2"/>
        <v>3268.2</v>
      </c>
      <c r="L55" s="139">
        <f t="shared" si="3"/>
        <v>101314.2</v>
      </c>
      <c r="M55" s="140">
        <f t="shared" si="4"/>
        <v>151971.3</v>
      </c>
      <c r="N55" s="159">
        <v>50000.0</v>
      </c>
      <c r="O55" s="161">
        <f t="shared" si="5"/>
        <v>4711110.3</v>
      </c>
      <c r="P55" s="168">
        <f>57.31133%*O55</f>
        <v>2699999.971</v>
      </c>
      <c r="Q55" s="162">
        <f t="shared" si="6"/>
        <v>2011110.329</v>
      </c>
      <c r="R55" s="157">
        <f t="shared" si="7"/>
        <v>253285.5</v>
      </c>
      <c r="S55" s="159">
        <f t="shared" si="8"/>
        <v>2264395.829</v>
      </c>
    </row>
    <row r="56">
      <c r="A56" s="7"/>
      <c r="B56" s="134"/>
      <c r="C56" s="43" t="s">
        <v>177</v>
      </c>
      <c r="D56" s="45" t="s">
        <v>178</v>
      </c>
      <c r="E56" s="46" t="s">
        <v>179</v>
      </c>
      <c r="F56" s="45" t="s">
        <v>180</v>
      </c>
      <c r="G56" s="48">
        <v>166842.0</v>
      </c>
      <c r="H56" s="48">
        <v>55000.0</v>
      </c>
      <c r="I56" s="7"/>
      <c r="J56" s="138">
        <f t="shared" si="1"/>
        <v>8970</v>
      </c>
      <c r="K56" s="138">
        <f t="shared" si="2"/>
        <v>3588</v>
      </c>
      <c r="L56" s="139">
        <f t="shared" si="3"/>
        <v>111228</v>
      </c>
      <c r="M56" s="140">
        <f t="shared" si="4"/>
        <v>166842</v>
      </c>
      <c r="N56" s="141">
        <v>55000.0</v>
      </c>
      <c r="O56" s="142">
        <f t="shared" si="5"/>
        <v>5172102</v>
      </c>
      <c r="P56" s="153">
        <f>53.16987%*O56</f>
        <v>2749999.91</v>
      </c>
      <c r="Q56" s="142">
        <f t="shared" si="6"/>
        <v>2422102.09</v>
      </c>
      <c r="R56" s="138">
        <f t="shared" si="7"/>
        <v>278070</v>
      </c>
      <c r="S56" s="146">
        <f t="shared" si="8"/>
        <v>2700172.09</v>
      </c>
    </row>
    <row r="57">
      <c r="A57" s="7"/>
      <c r="B57" s="134"/>
      <c r="C57" s="43" t="s">
        <v>182</v>
      </c>
      <c r="D57" s="45" t="s">
        <v>183</v>
      </c>
      <c r="E57" s="46" t="s">
        <v>184</v>
      </c>
      <c r="F57" s="45" t="s">
        <v>185</v>
      </c>
      <c r="G57" s="76">
        <v>123898.32</v>
      </c>
      <c r="H57" s="48">
        <v>40000.0</v>
      </c>
      <c r="I57" s="7"/>
      <c r="J57" s="157">
        <f t="shared" si="1"/>
        <v>6661.2</v>
      </c>
      <c r="K57" s="138">
        <f t="shared" si="2"/>
        <v>2664.48</v>
      </c>
      <c r="L57" s="139">
        <f t="shared" si="3"/>
        <v>82598.88</v>
      </c>
      <c r="M57" s="140">
        <f t="shared" si="4"/>
        <v>123898.32</v>
      </c>
      <c r="N57" s="159">
        <v>40000.0</v>
      </c>
      <c r="O57" s="161">
        <f t="shared" si="5"/>
        <v>3840847.92</v>
      </c>
      <c r="P57" s="168">
        <f>55.97721%*O57</f>
        <v>2149999.506</v>
      </c>
      <c r="Q57" s="162">
        <f t="shared" si="6"/>
        <v>1690848.414</v>
      </c>
      <c r="R57" s="157">
        <f t="shared" si="7"/>
        <v>206497.2</v>
      </c>
      <c r="S57" s="159">
        <f t="shared" si="8"/>
        <v>1897345.614</v>
      </c>
    </row>
    <row r="58">
      <c r="A58" s="7"/>
      <c r="B58" s="134"/>
      <c r="C58" s="43" t="s">
        <v>190</v>
      </c>
      <c r="D58" s="45" t="s">
        <v>191</v>
      </c>
      <c r="E58" s="46" t="s">
        <v>192</v>
      </c>
      <c r="F58" s="45" t="s">
        <v>193</v>
      </c>
      <c r="G58" s="48">
        <v>161514.96</v>
      </c>
      <c r="H58" s="48">
        <v>50000.0</v>
      </c>
      <c r="I58" s="7"/>
      <c r="J58" s="138">
        <f t="shared" si="1"/>
        <v>8683.6</v>
      </c>
      <c r="K58" s="138">
        <f t="shared" si="2"/>
        <v>3473.44</v>
      </c>
      <c r="L58" s="139">
        <f t="shared" si="3"/>
        <v>107676.64</v>
      </c>
      <c r="M58" s="140">
        <f t="shared" si="4"/>
        <v>161514.96</v>
      </c>
      <c r="N58" s="141">
        <v>50000.0</v>
      </c>
      <c r="O58" s="142">
        <f t="shared" si="5"/>
        <v>5006963.76</v>
      </c>
      <c r="P58" s="168">
        <f>53.9249%*O58</f>
        <v>2700000.201</v>
      </c>
      <c r="Q58" s="142">
        <f t="shared" si="6"/>
        <v>2306963.559</v>
      </c>
      <c r="R58" s="138">
        <f t="shared" si="7"/>
        <v>269191.6</v>
      </c>
      <c r="S58" s="146">
        <f t="shared" si="8"/>
        <v>2576155.159</v>
      </c>
    </row>
    <row r="59">
      <c r="A59" s="7"/>
      <c r="B59" s="134"/>
      <c r="C59" s="43" t="s">
        <v>190</v>
      </c>
      <c r="D59" s="45" t="s">
        <v>191</v>
      </c>
      <c r="E59" s="46" t="s">
        <v>196</v>
      </c>
      <c r="F59" s="45" t="s">
        <v>198</v>
      </c>
      <c r="G59" s="48">
        <v>165353.06999999998</v>
      </c>
      <c r="H59" s="48">
        <v>50000.0</v>
      </c>
      <c r="I59" s="7"/>
      <c r="J59" s="138">
        <f t="shared" si="1"/>
        <v>8889.95</v>
      </c>
      <c r="K59" s="138">
        <f t="shared" si="2"/>
        <v>3555.98</v>
      </c>
      <c r="L59" s="139">
        <f t="shared" si="3"/>
        <v>110235.38</v>
      </c>
      <c r="M59" s="140">
        <f t="shared" si="4"/>
        <v>165353.07</v>
      </c>
      <c r="N59" s="141">
        <v>50000.0</v>
      </c>
      <c r="O59" s="142">
        <f t="shared" si="5"/>
        <v>5125945.17</v>
      </c>
      <c r="P59" s="168">
        <f>53.64864%*O59</f>
        <v>2749999.871</v>
      </c>
      <c r="Q59" s="142">
        <f t="shared" si="6"/>
        <v>2375945.299</v>
      </c>
      <c r="R59" s="138">
        <f t="shared" si="7"/>
        <v>275588.45</v>
      </c>
      <c r="S59" s="146">
        <f t="shared" si="8"/>
        <v>2651533.749</v>
      </c>
    </row>
    <row r="60">
      <c r="A60" s="7"/>
      <c r="B60" s="134"/>
      <c r="C60" s="43" t="s">
        <v>199</v>
      </c>
      <c r="D60" s="45" t="s">
        <v>200</v>
      </c>
      <c r="E60" s="46" t="s">
        <v>201</v>
      </c>
      <c r="F60" s="45" t="s">
        <v>202</v>
      </c>
      <c r="G60" s="48">
        <v>174282.0</v>
      </c>
      <c r="H60" s="48">
        <v>45000.0</v>
      </c>
      <c r="I60" s="7"/>
      <c r="J60" s="138">
        <f t="shared" si="1"/>
        <v>9370</v>
      </c>
      <c r="K60" s="138">
        <f t="shared" si="2"/>
        <v>3748</v>
      </c>
      <c r="L60" s="139">
        <f t="shared" si="3"/>
        <v>116188</v>
      </c>
      <c r="M60" s="140">
        <f t="shared" si="4"/>
        <v>174282</v>
      </c>
      <c r="N60" s="141">
        <v>45000.0</v>
      </c>
      <c r="O60" s="142">
        <f t="shared" si="5"/>
        <v>5402742</v>
      </c>
      <c r="P60" s="168">
        <f>53.67645%*O60</f>
        <v>2900000.108</v>
      </c>
      <c r="Q60" s="142">
        <f t="shared" si="6"/>
        <v>2502741.892</v>
      </c>
      <c r="R60" s="138">
        <f t="shared" si="7"/>
        <v>290470</v>
      </c>
      <c r="S60" s="146">
        <f t="shared" si="8"/>
        <v>2793211.892</v>
      </c>
    </row>
    <row r="61">
      <c r="A61" s="7"/>
      <c r="B61" s="134"/>
      <c r="C61" s="43" t="s">
        <v>208</v>
      </c>
      <c r="D61" s="45" t="s">
        <v>209</v>
      </c>
      <c r="E61" s="46" t="s">
        <v>210</v>
      </c>
      <c r="F61" s="45" t="s">
        <v>211</v>
      </c>
      <c r="G61" s="48">
        <v>137826.0</v>
      </c>
      <c r="H61" s="48">
        <v>45000.0</v>
      </c>
      <c r="I61" s="7"/>
      <c r="J61" s="138">
        <f t="shared" si="1"/>
        <v>7410</v>
      </c>
      <c r="K61" s="138">
        <f t="shared" si="2"/>
        <v>2964</v>
      </c>
      <c r="L61" s="139">
        <f t="shared" si="3"/>
        <v>91884</v>
      </c>
      <c r="M61" s="140">
        <f t="shared" si="4"/>
        <v>137826</v>
      </c>
      <c r="N61" s="141">
        <v>45000.0</v>
      </c>
      <c r="O61" s="142">
        <f t="shared" si="5"/>
        <v>4272606</v>
      </c>
      <c r="P61" s="144">
        <f>55.00155%*O61</f>
        <v>2349999.525</v>
      </c>
      <c r="Q61" s="142">
        <f t="shared" si="6"/>
        <v>1922606.475</v>
      </c>
      <c r="R61" s="138">
        <f t="shared" si="7"/>
        <v>229710</v>
      </c>
      <c r="S61" s="146">
        <f t="shared" si="8"/>
        <v>2152316.475</v>
      </c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138">
        <f t="shared" ref="K64:K88" si="10">3%*G6</f>
        <v>6435</v>
      </c>
      <c r="L64" s="139">
        <f t="shared" ref="L64:L88" si="11">31*K64</f>
        <v>199485</v>
      </c>
      <c r="M64" s="7"/>
      <c r="N64" s="7"/>
      <c r="O64" s="7"/>
      <c r="P64" s="7"/>
      <c r="Q64" s="7"/>
      <c r="R64" s="7"/>
      <c r="S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138">
        <f t="shared" si="10"/>
        <v>5894.46</v>
      </c>
      <c r="L65" s="139">
        <f t="shared" si="11"/>
        <v>182728.26</v>
      </c>
      <c r="M65" s="7"/>
      <c r="N65" s="7"/>
      <c r="O65" s="7"/>
      <c r="P65" s="7"/>
      <c r="Q65" s="7"/>
      <c r="R65" s="7"/>
      <c r="S65" s="7"/>
    </row>
    <row r="66">
      <c r="A66" s="7"/>
      <c r="B66" s="7"/>
      <c r="C66" s="7"/>
      <c r="D66" s="7"/>
      <c r="E66" s="7"/>
      <c r="F66" s="7"/>
      <c r="G66" s="71"/>
      <c r="H66" s="7"/>
      <c r="I66" s="7"/>
      <c r="J66" s="7"/>
      <c r="K66" s="138">
        <f t="shared" si="10"/>
        <v>6084</v>
      </c>
      <c r="L66" s="139">
        <f t="shared" si="11"/>
        <v>188604</v>
      </c>
      <c r="M66" s="7"/>
      <c r="N66" s="7"/>
      <c r="O66" s="7"/>
      <c r="P66" s="7"/>
      <c r="Q66" s="7"/>
      <c r="R66" s="7"/>
      <c r="S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138">
        <f t="shared" si="10"/>
        <v>5990.4</v>
      </c>
      <c r="L67" s="139">
        <f t="shared" si="11"/>
        <v>185702.4</v>
      </c>
      <c r="M67" s="7"/>
      <c r="N67" s="7"/>
      <c r="O67" s="7"/>
      <c r="P67" s="7"/>
      <c r="Q67" s="7"/>
      <c r="R67" s="7"/>
      <c r="S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138">
        <f t="shared" si="10"/>
        <v>4532.58</v>
      </c>
      <c r="L68" s="139">
        <f t="shared" si="11"/>
        <v>140509.98</v>
      </c>
      <c r="M68" s="7"/>
      <c r="N68" s="7"/>
      <c r="O68" s="7"/>
      <c r="P68" s="7"/>
      <c r="Q68" s="7"/>
      <c r="R68" s="7"/>
      <c r="S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138">
        <f t="shared" si="10"/>
        <v>4960.8</v>
      </c>
      <c r="L69" s="139">
        <f t="shared" si="11"/>
        <v>153784.8</v>
      </c>
      <c r="M69" s="7"/>
      <c r="N69" s="7"/>
      <c r="O69" s="7"/>
      <c r="P69" s="7"/>
      <c r="Q69" s="7"/>
      <c r="R69" s="7"/>
      <c r="S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138">
        <f t="shared" si="10"/>
        <v>4555.98</v>
      </c>
      <c r="L70" s="139">
        <f t="shared" si="11"/>
        <v>141235.38</v>
      </c>
      <c r="M70" s="7"/>
      <c r="N70" s="7"/>
      <c r="O70" s="7"/>
      <c r="P70" s="7"/>
      <c r="Q70" s="7"/>
      <c r="R70" s="7"/>
      <c r="S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138">
        <f t="shared" si="10"/>
        <v>4525.98</v>
      </c>
      <c r="L71" s="139">
        <f t="shared" si="11"/>
        <v>140305.38</v>
      </c>
      <c r="M71" s="7"/>
      <c r="N71" s="7"/>
      <c r="O71" s="7"/>
      <c r="P71" s="7"/>
      <c r="Q71" s="7"/>
      <c r="R71" s="7"/>
      <c r="S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138">
        <f t="shared" si="10"/>
        <v>5148</v>
      </c>
      <c r="L72" s="139">
        <f t="shared" si="11"/>
        <v>159588</v>
      </c>
      <c r="M72" s="7"/>
      <c r="N72" s="7"/>
      <c r="O72" s="7"/>
      <c r="P72" s="7"/>
      <c r="Q72" s="7"/>
      <c r="R72" s="7"/>
      <c r="S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138">
        <f t="shared" si="10"/>
        <v>6273.54</v>
      </c>
      <c r="L73" s="139">
        <f t="shared" si="11"/>
        <v>194479.74</v>
      </c>
      <c r="M73" s="7"/>
      <c r="N73" s="7"/>
      <c r="O73" s="7"/>
      <c r="P73" s="7"/>
      <c r="Q73" s="7"/>
      <c r="R73" s="7"/>
      <c r="S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138">
        <f t="shared" si="10"/>
        <v>6559.02</v>
      </c>
      <c r="L74" s="139">
        <f t="shared" si="11"/>
        <v>203329.62</v>
      </c>
      <c r="M74" s="7"/>
      <c r="N74" s="7"/>
      <c r="O74" s="7"/>
      <c r="P74" s="7"/>
      <c r="Q74" s="7"/>
      <c r="R74" s="7"/>
      <c r="S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138">
        <f t="shared" si="10"/>
        <v>7841.34</v>
      </c>
      <c r="L75" s="139">
        <f t="shared" si="11"/>
        <v>243081.54</v>
      </c>
      <c r="M75" s="7"/>
      <c r="N75" s="7"/>
      <c r="O75" s="7"/>
      <c r="P75" s="7"/>
      <c r="Q75" s="7"/>
      <c r="R75" s="7"/>
      <c r="S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138">
        <f t="shared" si="10"/>
        <v>4794.66</v>
      </c>
      <c r="L76" s="139">
        <f t="shared" si="11"/>
        <v>148634.46</v>
      </c>
      <c r="M76" s="7"/>
      <c r="N76" s="7"/>
      <c r="O76" s="7"/>
      <c r="P76" s="7"/>
      <c r="Q76" s="7"/>
      <c r="R76" s="7"/>
      <c r="S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138">
        <f t="shared" si="10"/>
        <v>4663.62</v>
      </c>
      <c r="L77" s="139">
        <f t="shared" si="11"/>
        <v>144572.22</v>
      </c>
      <c r="M77" s="7"/>
      <c r="N77" s="7"/>
      <c r="O77" s="7"/>
      <c r="P77" s="7"/>
      <c r="Q77" s="7"/>
      <c r="R77" s="7"/>
      <c r="S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138">
        <f t="shared" si="10"/>
        <v>4794.66</v>
      </c>
      <c r="L78" s="139">
        <f t="shared" si="11"/>
        <v>148634.46</v>
      </c>
      <c r="M78" s="7"/>
      <c r="N78" s="7"/>
      <c r="O78" s="7"/>
      <c r="P78" s="7"/>
      <c r="Q78" s="7"/>
      <c r="R78" s="7"/>
      <c r="S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138">
        <f t="shared" si="10"/>
        <v>4532.58</v>
      </c>
      <c r="L79" s="139">
        <f t="shared" si="11"/>
        <v>140509.98</v>
      </c>
      <c r="M79" s="7"/>
      <c r="N79" s="7"/>
      <c r="O79" s="7"/>
      <c r="P79" s="7"/>
      <c r="Q79" s="7"/>
      <c r="R79" s="7"/>
      <c r="S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138">
        <f t="shared" si="10"/>
        <v>4532.58</v>
      </c>
      <c r="L80" s="139">
        <f t="shared" si="11"/>
        <v>140509.98</v>
      </c>
      <c r="M80" s="7"/>
      <c r="N80" s="7"/>
      <c r="O80" s="7"/>
      <c r="P80" s="7"/>
      <c r="Q80" s="7"/>
      <c r="R80" s="7"/>
      <c r="S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138">
        <f t="shared" si="10"/>
        <v>5090.31</v>
      </c>
      <c r="L81" s="139">
        <f t="shared" si="11"/>
        <v>157799.61</v>
      </c>
      <c r="M81" s="7"/>
      <c r="N81" s="7"/>
      <c r="O81" s="7"/>
      <c r="P81" s="7"/>
      <c r="Q81" s="7"/>
      <c r="R81" s="7"/>
      <c r="S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138">
        <f t="shared" si="10"/>
        <v>4902.3</v>
      </c>
      <c r="L82" s="139">
        <f t="shared" si="11"/>
        <v>151971.3</v>
      </c>
      <c r="M82" s="7"/>
      <c r="N82" s="7"/>
      <c r="O82" s="7"/>
      <c r="P82" s="7"/>
      <c r="Q82" s="7"/>
      <c r="R82" s="7"/>
      <c r="S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138">
        <f t="shared" si="10"/>
        <v>5382</v>
      </c>
      <c r="L83" s="139">
        <f t="shared" si="11"/>
        <v>166842</v>
      </c>
      <c r="M83" s="7"/>
      <c r="N83" s="7"/>
      <c r="O83" s="7"/>
      <c r="P83" s="7"/>
      <c r="Q83" s="7"/>
      <c r="R83" s="7"/>
      <c r="S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138">
        <f t="shared" si="10"/>
        <v>3996.72</v>
      </c>
      <c r="L84" s="139">
        <f t="shared" si="11"/>
        <v>123898.32</v>
      </c>
      <c r="M84" s="7"/>
      <c r="N84" s="7"/>
      <c r="O84" s="7"/>
      <c r="P84" s="7"/>
      <c r="Q84" s="7"/>
      <c r="R84" s="7"/>
      <c r="S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138">
        <f t="shared" si="10"/>
        <v>5210.16</v>
      </c>
      <c r="L85" s="139">
        <f t="shared" si="11"/>
        <v>161514.96</v>
      </c>
      <c r="M85" s="7"/>
      <c r="N85" s="7"/>
      <c r="O85" s="7"/>
      <c r="P85" s="7"/>
      <c r="Q85" s="7"/>
      <c r="R85" s="7"/>
      <c r="S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138">
        <f t="shared" si="10"/>
        <v>5333.97</v>
      </c>
      <c r="L86" s="139">
        <f t="shared" si="11"/>
        <v>165353.07</v>
      </c>
      <c r="M86" s="7"/>
      <c r="N86" s="7"/>
      <c r="O86" s="7"/>
      <c r="P86" s="7"/>
      <c r="Q86" s="7"/>
      <c r="R86" s="7"/>
      <c r="S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138">
        <f t="shared" si="10"/>
        <v>5622</v>
      </c>
      <c r="L87" s="139">
        <f t="shared" si="11"/>
        <v>174282</v>
      </c>
      <c r="M87" s="7"/>
      <c r="N87" s="7"/>
      <c r="O87" s="7"/>
      <c r="P87" s="7"/>
      <c r="Q87" s="7"/>
      <c r="R87" s="7"/>
      <c r="S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138">
        <f t="shared" si="10"/>
        <v>4446</v>
      </c>
      <c r="L88" s="139">
        <f t="shared" si="11"/>
        <v>137826</v>
      </c>
      <c r="M88" s="7"/>
      <c r="N88" s="7"/>
      <c r="O88" s="7"/>
      <c r="P88" s="7"/>
      <c r="Q88" s="7"/>
      <c r="R88" s="7"/>
      <c r="S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</sheetData>
  <mergeCells count="18">
    <mergeCell ref="B5:G5"/>
    <mergeCell ref="J5:S5"/>
    <mergeCell ref="B2:B4"/>
    <mergeCell ref="C2:C4"/>
    <mergeCell ref="D2:D4"/>
    <mergeCell ref="E2:E4"/>
    <mergeCell ref="F2:F4"/>
    <mergeCell ref="G2:G4"/>
    <mergeCell ref="H2:H4"/>
    <mergeCell ref="B36:G36"/>
    <mergeCell ref="J36:S36"/>
    <mergeCell ref="B33:B35"/>
    <mergeCell ref="C33:C35"/>
    <mergeCell ref="D33:D35"/>
    <mergeCell ref="E33:E35"/>
    <mergeCell ref="F33:F35"/>
    <mergeCell ref="G33:G35"/>
    <mergeCell ref="H33:H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8.63"/>
    <col customWidth="1" min="3" max="3" width="18.75"/>
    <col customWidth="1" min="4" max="4" width="16.63"/>
    <col customWidth="1" min="5" max="5" width="25.13"/>
    <col customWidth="1" min="6" max="6" width="7.88"/>
    <col customWidth="1" min="7" max="7" width="11.25"/>
    <col customWidth="1" min="8" max="8" width="13.13"/>
    <col customWidth="1" min="9" max="9" width="15.25"/>
    <col customWidth="1" min="10" max="10" width="12.13"/>
    <col customWidth="1" min="11" max="11" width="12.88"/>
    <col customWidth="1" min="12" max="12" width="16.13"/>
    <col customWidth="1" min="13" max="14" width="13.75"/>
    <col customWidth="1" min="15" max="18" width="13.13"/>
    <col customWidth="1" min="19" max="19" width="12.63"/>
    <col customWidth="1" min="20" max="20" width="12.88"/>
    <col customWidth="1" min="21" max="21" width="14.38"/>
    <col customWidth="1" min="22" max="22" width="15.88"/>
    <col customWidth="1" min="23" max="23" width="19.13"/>
    <col customWidth="1" min="24" max="24" width="16.63"/>
    <col customWidth="1" min="25" max="25" width="15.25"/>
    <col customWidth="1" min="26" max="26" width="16.5"/>
    <col customWidth="1" min="27" max="27" width="22.75"/>
    <col customWidth="1" min="28" max="28" width="20.0"/>
    <col customWidth="1" min="29" max="29" width="13.38"/>
    <col customWidth="1" min="30" max="30" width="20.5"/>
    <col customWidth="1" min="31" max="31" width="72.63"/>
    <col customWidth="1" min="32" max="32" width="24.0"/>
    <col customWidth="1" min="33" max="43" width="14.38"/>
  </cols>
  <sheetData>
    <row r="1">
      <c r="A1" s="11" t="s">
        <v>0</v>
      </c>
      <c r="B1" s="13" t="s">
        <v>17</v>
      </c>
      <c r="C1" s="14" t="s">
        <v>19</v>
      </c>
      <c r="D1" s="17" t="s">
        <v>1</v>
      </c>
      <c r="E1" s="17" t="s">
        <v>2</v>
      </c>
      <c r="F1" s="21" t="s">
        <v>3</v>
      </c>
      <c r="G1" s="23" t="s">
        <v>26</v>
      </c>
      <c r="H1" s="23" t="s">
        <v>32</v>
      </c>
      <c r="I1" s="23" t="s">
        <v>35</v>
      </c>
      <c r="J1" s="23" t="s">
        <v>36</v>
      </c>
      <c r="K1" s="14" t="s">
        <v>37</v>
      </c>
      <c r="L1" s="14" t="s">
        <v>38</v>
      </c>
      <c r="M1" s="21" t="s">
        <v>39</v>
      </c>
      <c r="N1" s="21" t="s">
        <v>7</v>
      </c>
      <c r="O1" s="26" t="s">
        <v>40</v>
      </c>
      <c r="P1" s="26" t="s">
        <v>43</v>
      </c>
      <c r="Q1" s="26" t="s">
        <v>44</v>
      </c>
      <c r="R1" s="26" t="s">
        <v>45</v>
      </c>
      <c r="S1" s="32" t="s">
        <v>46</v>
      </c>
      <c r="T1" s="34" t="s">
        <v>49</v>
      </c>
      <c r="U1" s="14" t="s">
        <v>50</v>
      </c>
      <c r="V1" s="32" t="s">
        <v>46</v>
      </c>
      <c r="W1" s="37" t="s">
        <v>53</v>
      </c>
      <c r="X1" s="14" t="s">
        <v>46</v>
      </c>
      <c r="Y1" s="13" t="s">
        <v>56</v>
      </c>
      <c r="Z1" s="14" t="s">
        <v>46</v>
      </c>
      <c r="AA1" s="13" t="s">
        <v>59</v>
      </c>
      <c r="AB1" s="14" t="s">
        <v>46</v>
      </c>
      <c r="AC1" s="14" t="s">
        <v>62</v>
      </c>
      <c r="AD1" s="14" t="s">
        <v>46</v>
      </c>
      <c r="AE1" s="49" t="s">
        <v>66</v>
      </c>
      <c r="AF1" s="52" t="s">
        <v>68</v>
      </c>
      <c r="AG1" s="52" t="s">
        <v>72</v>
      </c>
    </row>
    <row r="2">
      <c r="A2" s="55"/>
      <c r="B2" s="31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55"/>
      <c r="P2" s="55"/>
      <c r="Q2" s="55"/>
      <c r="R2" s="55"/>
      <c r="S2" s="60"/>
      <c r="T2" s="39"/>
      <c r="U2" s="28"/>
      <c r="V2" s="60"/>
      <c r="W2" s="55"/>
      <c r="X2" s="28"/>
      <c r="Y2" s="31"/>
      <c r="Z2" s="28"/>
      <c r="AA2" s="31"/>
      <c r="AB2" s="28"/>
      <c r="AC2" s="28"/>
      <c r="AD2" s="28"/>
      <c r="AE2" s="60"/>
      <c r="AF2" s="55"/>
      <c r="AG2" s="55"/>
    </row>
    <row r="3">
      <c r="A3" s="63">
        <v>1.0</v>
      </c>
      <c r="B3" s="64">
        <v>45818.0</v>
      </c>
      <c r="C3" s="66"/>
      <c r="D3" s="67" t="s">
        <v>54</v>
      </c>
      <c r="E3" s="68" t="s">
        <v>77</v>
      </c>
      <c r="F3" s="70">
        <v>116554.0</v>
      </c>
      <c r="G3" s="71" t="s">
        <v>91</v>
      </c>
      <c r="H3" s="72">
        <v>32.4</v>
      </c>
      <c r="I3" s="77">
        <f t="shared" ref="I3:I120" si="1">F3*H3</f>
        <v>3776349.6</v>
      </c>
      <c r="J3" s="79"/>
      <c r="K3" s="79"/>
      <c r="L3" s="79"/>
      <c r="M3" s="81">
        <f t="shared" ref="M3:M4" si="2">ROUND(IF(H3&gt;31,31,H3)*52%*F3,-3)</f>
        <v>1879000</v>
      </c>
      <c r="N3" s="81">
        <f t="shared" ref="N3:N8" si="3">I3-M3-U3-AA3</f>
        <v>1762349.6</v>
      </c>
      <c r="O3" s="71" t="s">
        <v>91</v>
      </c>
      <c r="P3" s="71" t="s">
        <v>91</v>
      </c>
      <c r="Q3" s="71" t="s">
        <v>91</v>
      </c>
      <c r="R3" s="71" t="s">
        <v>91</v>
      </c>
      <c r="S3" s="71" t="s">
        <v>91</v>
      </c>
      <c r="T3" s="82">
        <v>35000.0</v>
      </c>
      <c r="U3" s="83">
        <f>1*T3</f>
        <v>35000</v>
      </c>
      <c r="V3" s="84" t="s">
        <v>109</v>
      </c>
      <c r="W3" s="85" t="s">
        <v>91</v>
      </c>
      <c r="X3" s="86" t="s">
        <v>91</v>
      </c>
      <c r="Y3" s="85" t="s">
        <v>91</v>
      </c>
      <c r="Z3" s="86" t="s">
        <v>91</v>
      </c>
      <c r="AA3" s="87">
        <v>100000.0</v>
      </c>
      <c r="AB3" s="88" t="s">
        <v>122</v>
      </c>
      <c r="AC3" s="89" t="s">
        <v>91</v>
      </c>
      <c r="AD3" s="90" t="s">
        <v>91</v>
      </c>
      <c r="AE3" s="91" t="s">
        <v>125</v>
      </c>
      <c r="AF3" s="92"/>
      <c r="AG3" s="92"/>
    </row>
    <row r="4">
      <c r="A4" s="93">
        <v>2.0</v>
      </c>
      <c r="B4" s="64">
        <v>45821.0</v>
      </c>
      <c r="C4" s="66"/>
      <c r="D4" s="67" t="s">
        <v>54</v>
      </c>
      <c r="E4" s="94" t="s">
        <v>131</v>
      </c>
      <c r="F4" s="86">
        <v>116554.0</v>
      </c>
      <c r="G4" s="71" t="s">
        <v>91</v>
      </c>
      <c r="H4" s="95">
        <v>35.08</v>
      </c>
      <c r="I4" s="96">
        <f t="shared" si="1"/>
        <v>4088714.32</v>
      </c>
      <c r="J4" s="97"/>
      <c r="K4" s="97"/>
      <c r="L4" s="97"/>
      <c r="M4" s="81">
        <f t="shared" si="2"/>
        <v>1879000</v>
      </c>
      <c r="N4" s="81">
        <f t="shared" si="3"/>
        <v>1969714.32</v>
      </c>
      <c r="O4" s="71" t="s">
        <v>91</v>
      </c>
      <c r="P4" s="71" t="s">
        <v>91</v>
      </c>
      <c r="Q4" s="71" t="s">
        <v>91</v>
      </c>
      <c r="R4" s="71" t="s">
        <v>91</v>
      </c>
      <c r="S4" s="71" t="s">
        <v>91</v>
      </c>
      <c r="T4" s="98">
        <v>35000.0</v>
      </c>
      <c r="U4" s="99">
        <f>4*T4</f>
        <v>140000</v>
      </c>
      <c r="V4" s="84" t="s">
        <v>154</v>
      </c>
      <c r="W4" s="85" t="s">
        <v>91</v>
      </c>
      <c r="X4" s="86" t="s">
        <v>91</v>
      </c>
      <c r="Y4" s="85" t="s">
        <v>91</v>
      </c>
      <c r="Z4" s="86" t="s">
        <v>91</v>
      </c>
      <c r="AA4" s="87">
        <v>100000.0</v>
      </c>
      <c r="AB4" s="88" t="s">
        <v>158</v>
      </c>
      <c r="AC4" s="89" t="s">
        <v>91</v>
      </c>
      <c r="AD4" s="90" t="s">
        <v>91</v>
      </c>
      <c r="AE4" s="100"/>
      <c r="AF4" s="92"/>
      <c r="AG4" s="92"/>
    </row>
    <row r="5">
      <c r="A5" s="93">
        <v>3.0</v>
      </c>
      <c r="B5" s="64">
        <v>45824.0</v>
      </c>
      <c r="C5" s="66"/>
      <c r="D5" s="101" t="s">
        <v>166</v>
      </c>
      <c r="E5" s="94" t="s">
        <v>167</v>
      </c>
      <c r="F5" s="102">
        <v>76308.5</v>
      </c>
      <c r="G5" s="71" t="s">
        <v>91</v>
      </c>
      <c r="H5" s="103">
        <v>34.28</v>
      </c>
      <c r="I5" s="96">
        <f t="shared" si="1"/>
        <v>2615855.38</v>
      </c>
      <c r="J5" s="97"/>
      <c r="K5" s="97"/>
      <c r="L5" s="97"/>
      <c r="M5" s="81">
        <f>ROUND(IF(H5&gt;31,31,H5)*61.29616%*F5,-3)</f>
        <v>1450000</v>
      </c>
      <c r="N5" s="81">
        <f t="shared" si="3"/>
        <v>990855.38</v>
      </c>
      <c r="O5" s="71" t="s">
        <v>91</v>
      </c>
      <c r="P5" s="71" t="s">
        <v>91</v>
      </c>
      <c r="Q5" s="71" t="s">
        <v>91</v>
      </c>
      <c r="R5" s="71" t="s">
        <v>91</v>
      </c>
      <c r="S5" s="71" t="s">
        <v>91</v>
      </c>
      <c r="T5" s="98">
        <v>25000.0</v>
      </c>
      <c r="U5" s="99">
        <f>3*T5</f>
        <v>75000</v>
      </c>
      <c r="V5" s="84" t="s">
        <v>154</v>
      </c>
      <c r="W5" s="85" t="s">
        <v>91</v>
      </c>
      <c r="X5" s="86" t="s">
        <v>91</v>
      </c>
      <c r="Y5" s="85" t="s">
        <v>91</v>
      </c>
      <c r="Z5" s="86" t="s">
        <v>91</v>
      </c>
      <c r="AA5" s="87">
        <v>100000.0</v>
      </c>
      <c r="AB5" s="88" t="s">
        <v>203</v>
      </c>
      <c r="AC5" s="89" t="s">
        <v>91</v>
      </c>
      <c r="AD5" s="90" t="s">
        <v>91</v>
      </c>
      <c r="AE5" s="100"/>
      <c r="AF5" s="92"/>
      <c r="AG5" s="92"/>
    </row>
    <row r="6">
      <c r="A6" s="105">
        <v>4.0</v>
      </c>
      <c r="B6" s="64">
        <v>45829.0</v>
      </c>
      <c r="C6" s="66"/>
      <c r="D6" s="67" t="s">
        <v>54</v>
      </c>
      <c r="E6" s="106" t="s">
        <v>77</v>
      </c>
      <c r="F6" s="86">
        <v>116554.0</v>
      </c>
      <c r="G6" s="71" t="s">
        <v>91</v>
      </c>
      <c r="H6" s="103">
        <v>39.04</v>
      </c>
      <c r="I6" s="96">
        <f t="shared" si="1"/>
        <v>4550268.16</v>
      </c>
      <c r="J6" s="97"/>
      <c r="K6" s="97"/>
      <c r="L6" s="97"/>
      <c r="M6" s="81">
        <f>ROUND(IF(H6&gt;31,31,H6)*52%*F6,-3)</f>
        <v>1879000</v>
      </c>
      <c r="N6" s="81">
        <f t="shared" si="3"/>
        <v>2291268.16</v>
      </c>
      <c r="O6" s="71" t="s">
        <v>91</v>
      </c>
      <c r="P6" s="71" t="s">
        <v>91</v>
      </c>
      <c r="Q6" s="71" t="s">
        <v>91</v>
      </c>
      <c r="R6" s="71" t="s">
        <v>91</v>
      </c>
      <c r="S6" s="71" t="s">
        <v>91</v>
      </c>
      <c r="T6" s="82">
        <v>35000.0</v>
      </c>
      <c r="U6" s="99">
        <f t="shared" ref="U6:U7" si="4">8*T6</f>
        <v>280000</v>
      </c>
      <c r="V6" s="84" t="s">
        <v>154</v>
      </c>
      <c r="W6" s="85" t="s">
        <v>91</v>
      </c>
      <c r="X6" s="86" t="s">
        <v>91</v>
      </c>
      <c r="Y6" s="85" t="s">
        <v>91</v>
      </c>
      <c r="Z6" s="86" t="s">
        <v>91</v>
      </c>
      <c r="AA6" s="87">
        <v>100000.0</v>
      </c>
      <c r="AB6" s="88" t="s">
        <v>224</v>
      </c>
      <c r="AC6" s="89" t="s">
        <v>91</v>
      </c>
      <c r="AD6" s="90" t="s">
        <v>91</v>
      </c>
      <c r="AE6" s="100"/>
      <c r="AF6" s="92"/>
      <c r="AG6" s="92"/>
    </row>
    <row r="7">
      <c r="A7" s="93">
        <v>5.0</v>
      </c>
      <c r="B7" s="64">
        <v>45833.0</v>
      </c>
      <c r="C7" s="66"/>
      <c r="D7" s="67" t="s">
        <v>54</v>
      </c>
      <c r="E7" s="94" t="s">
        <v>233</v>
      </c>
      <c r="F7" s="86">
        <v>116554.0</v>
      </c>
      <c r="G7" s="71" t="s">
        <v>91</v>
      </c>
      <c r="H7" s="103">
        <v>30.3</v>
      </c>
      <c r="I7" s="96">
        <f t="shared" si="1"/>
        <v>3531586.2</v>
      </c>
      <c r="J7" s="97"/>
      <c r="K7" s="97"/>
      <c r="L7" s="97"/>
      <c r="M7" s="125">
        <v>1879000.0</v>
      </c>
      <c r="N7" s="81">
        <f t="shared" si="3"/>
        <v>1552586.2</v>
      </c>
      <c r="O7" s="71" t="s">
        <v>91</v>
      </c>
      <c r="P7" s="71" t="s">
        <v>91</v>
      </c>
      <c r="Q7" s="71" t="s">
        <v>91</v>
      </c>
      <c r="R7" s="71" t="s">
        <v>91</v>
      </c>
      <c r="S7" s="71" t="s">
        <v>91</v>
      </c>
      <c r="T7" s="89">
        <v>0.0</v>
      </c>
      <c r="U7" s="99">
        <f t="shared" si="4"/>
        <v>0</v>
      </c>
      <c r="V7" s="84" t="s">
        <v>154</v>
      </c>
      <c r="W7" s="85" t="s">
        <v>91</v>
      </c>
      <c r="X7" s="86" t="s">
        <v>91</v>
      </c>
      <c r="Y7" s="85" t="s">
        <v>91</v>
      </c>
      <c r="Z7" s="86" t="s">
        <v>91</v>
      </c>
      <c r="AA7" s="87">
        <v>100000.0</v>
      </c>
      <c r="AB7" s="88" t="s">
        <v>246</v>
      </c>
      <c r="AC7" s="135">
        <v>50000.0</v>
      </c>
      <c r="AD7" s="136" t="s">
        <v>248</v>
      </c>
      <c r="AE7" s="137" t="s">
        <v>249</v>
      </c>
      <c r="AF7" s="92"/>
      <c r="AG7" s="92"/>
    </row>
    <row r="8">
      <c r="A8" s="105">
        <v>6.0</v>
      </c>
      <c r="B8" s="64">
        <v>45839.0</v>
      </c>
      <c r="C8" s="66"/>
      <c r="D8" s="67" t="s">
        <v>54</v>
      </c>
      <c r="E8" s="94" t="s">
        <v>252</v>
      </c>
      <c r="F8" s="86">
        <v>116554.0</v>
      </c>
      <c r="G8" s="71" t="s">
        <v>91</v>
      </c>
      <c r="H8" s="103">
        <v>35.38</v>
      </c>
      <c r="I8" s="96">
        <f t="shared" si="1"/>
        <v>4123680.52</v>
      </c>
      <c r="J8" s="97"/>
      <c r="K8" s="97"/>
      <c r="L8" s="97"/>
      <c r="M8" s="81">
        <f>ROUND(IF(H8&gt;31,31,H8)*52%*F8,-3)</f>
        <v>1879000</v>
      </c>
      <c r="N8" s="81">
        <f t="shared" si="3"/>
        <v>2004680.52</v>
      </c>
      <c r="O8" s="71" t="s">
        <v>91</v>
      </c>
      <c r="P8" s="71" t="s">
        <v>91</v>
      </c>
      <c r="Q8" s="71" t="s">
        <v>91</v>
      </c>
      <c r="R8" s="71" t="s">
        <v>91</v>
      </c>
      <c r="S8" s="71" t="s">
        <v>91</v>
      </c>
      <c r="T8" s="82">
        <v>35000.0</v>
      </c>
      <c r="U8" s="99">
        <f t="shared" ref="U8:U9" si="5">4*T8</f>
        <v>140000</v>
      </c>
      <c r="V8" s="84" t="s">
        <v>154</v>
      </c>
      <c r="W8" s="85" t="s">
        <v>91</v>
      </c>
      <c r="X8" s="86" t="s">
        <v>91</v>
      </c>
      <c r="Y8" s="85" t="s">
        <v>91</v>
      </c>
      <c r="Z8" s="86" t="s">
        <v>91</v>
      </c>
      <c r="AA8" s="87">
        <v>100000.0</v>
      </c>
      <c r="AB8" s="143" t="s">
        <v>260</v>
      </c>
      <c r="AC8" s="135">
        <v>50000.0</v>
      </c>
      <c r="AD8" s="136" t="s">
        <v>263</v>
      </c>
      <c r="AE8" s="145" t="s">
        <v>264</v>
      </c>
      <c r="AF8" s="92"/>
      <c r="AG8" s="92"/>
    </row>
    <row r="9">
      <c r="A9" s="93">
        <v>7.0</v>
      </c>
      <c r="B9" s="64">
        <v>45842.0</v>
      </c>
      <c r="C9" s="66"/>
      <c r="D9" s="101" t="s">
        <v>266</v>
      </c>
      <c r="E9" s="94" t="s">
        <v>267</v>
      </c>
      <c r="F9" s="86">
        <v>103334.4</v>
      </c>
      <c r="G9" s="71" t="s">
        <v>91</v>
      </c>
      <c r="H9" s="103">
        <v>35.38</v>
      </c>
      <c r="I9" s="96">
        <f t="shared" si="1"/>
        <v>3655971.072</v>
      </c>
      <c r="J9" s="97"/>
      <c r="K9" s="97"/>
      <c r="L9" s="97"/>
      <c r="M9" s="81">
        <f t="shared" ref="M9:M10" si="6">ROUND(IF(H9&gt;31,31,H9)*49.95%*F9,-3)</f>
        <v>1600000</v>
      </c>
      <c r="N9" s="81">
        <f t="shared" ref="N9:N11" si="7">I9-M9-U9-AA9-AC9</f>
        <v>1785971.072</v>
      </c>
      <c r="O9" s="71" t="s">
        <v>91</v>
      </c>
      <c r="P9" s="71" t="s">
        <v>91</v>
      </c>
      <c r="Q9" s="71" t="s">
        <v>91</v>
      </c>
      <c r="R9" s="71" t="s">
        <v>91</v>
      </c>
      <c r="S9" s="71" t="s">
        <v>91</v>
      </c>
      <c r="T9" s="89">
        <v>30000.0</v>
      </c>
      <c r="U9" s="99">
        <f t="shared" si="5"/>
        <v>120000</v>
      </c>
      <c r="V9" s="84" t="s">
        <v>154</v>
      </c>
      <c r="W9" s="85" t="s">
        <v>91</v>
      </c>
      <c r="X9" s="86" t="s">
        <v>91</v>
      </c>
      <c r="Y9" s="85" t="s">
        <v>91</v>
      </c>
      <c r="Z9" s="86" t="s">
        <v>91</v>
      </c>
      <c r="AA9" s="87">
        <v>100000.0</v>
      </c>
      <c r="AB9" s="143" t="s">
        <v>274</v>
      </c>
      <c r="AC9" s="135">
        <v>50000.0</v>
      </c>
      <c r="AD9" s="136" t="s">
        <v>275</v>
      </c>
      <c r="AE9" s="100"/>
      <c r="AF9" s="92"/>
      <c r="AG9" s="92"/>
    </row>
    <row r="10">
      <c r="A10" s="147">
        <v>8.0</v>
      </c>
      <c r="B10" s="64">
        <v>45845.0</v>
      </c>
      <c r="C10" s="66"/>
      <c r="D10" s="101" t="s">
        <v>266</v>
      </c>
      <c r="E10" s="94" t="s">
        <v>280</v>
      </c>
      <c r="F10" s="86">
        <v>103334.4</v>
      </c>
      <c r="G10" s="71" t="s">
        <v>91</v>
      </c>
      <c r="H10" s="103">
        <v>34.4</v>
      </c>
      <c r="I10" s="96">
        <f t="shared" si="1"/>
        <v>3554703.36</v>
      </c>
      <c r="J10" s="97"/>
      <c r="K10" s="97"/>
      <c r="L10" s="97"/>
      <c r="M10" s="81">
        <f t="shared" si="6"/>
        <v>1600000</v>
      </c>
      <c r="N10" s="81">
        <f t="shared" si="7"/>
        <v>1714703.36</v>
      </c>
      <c r="O10" s="71" t="s">
        <v>91</v>
      </c>
      <c r="P10" s="71" t="s">
        <v>91</v>
      </c>
      <c r="Q10" s="71" t="s">
        <v>91</v>
      </c>
      <c r="R10" s="71" t="s">
        <v>91</v>
      </c>
      <c r="S10" s="71" t="s">
        <v>91</v>
      </c>
      <c r="T10" s="89">
        <v>30000.0</v>
      </c>
      <c r="U10" s="99">
        <f>3*T10</f>
        <v>90000</v>
      </c>
      <c r="V10" s="84" t="s">
        <v>154</v>
      </c>
      <c r="W10" s="85" t="s">
        <v>91</v>
      </c>
      <c r="X10" s="86" t="s">
        <v>91</v>
      </c>
      <c r="Y10" s="85" t="s">
        <v>91</v>
      </c>
      <c r="Z10" s="86" t="s">
        <v>91</v>
      </c>
      <c r="AA10" s="87">
        <v>100000.0</v>
      </c>
      <c r="AB10" s="143" t="s">
        <v>287</v>
      </c>
      <c r="AC10" s="135">
        <v>50000.0</v>
      </c>
      <c r="AD10" s="136" t="s">
        <v>288</v>
      </c>
      <c r="AE10" s="100"/>
      <c r="AF10" s="92"/>
      <c r="AG10" s="92"/>
    </row>
    <row r="11">
      <c r="A11" s="148">
        <v>9.0</v>
      </c>
      <c r="B11" s="64">
        <v>45848.0</v>
      </c>
      <c r="C11" s="66"/>
      <c r="D11" s="101" t="s">
        <v>289</v>
      </c>
      <c r="E11" s="94" t="s">
        <v>291</v>
      </c>
      <c r="F11" s="149">
        <v>133056.0</v>
      </c>
      <c r="G11" s="71" t="s">
        <v>91</v>
      </c>
      <c r="H11" s="103">
        <v>31.96</v>
      </c>
      <c r="I11" s="96">
        <f t="shared" si="1"/>
        <v>4252469.76</v>
      </c>
      <c r="J11" s="97"/>
      <c r="K11" s="97"/>
      <c r="L11" s="97"/>
      <c r="M11" s="81">
        <f>ROUND(IF(H11&gt;31,31,H11)*47.275753%*F11,-3)</f>
        <v>1950000</v>
      </c>
      <c r="N11" s="81">
        <f t="shared" si="7"/>
        <v>2102469.76</v>
      </c>
      <c r="O11" s="71" t="s">
        <v>91</v>
      </c>
      <c r="P11" s="71" t="s">
        <v>91</v>
      </c>
      <c r="Q11" s="71" t="s">
        <v>91</v>
      </c>
      <c r="R11" s="71" t="s">
        <v>91</v>
      </c>
      <c r="S11" s="71" t="s">
        <v>91</v>
      </c>
      <c r="T11" s="89">
        <v>50000.0</v>
      </c>
      <c r="U11" s="99">
        <f>1*T11</f>
        <v>50000</v>
      </c>
      <c r="V11" s="84" t="s">
        <v>154</v>
      </c>
      <c r="W11" s="85" t="s">
        <v>91</v>
      </c>
      <c r="X11" s="86" t="s">
        <v>91</v>
      </c>
      <c r="Y11" s="85" t="s">
        <v>91</v>
      </c>
      <c r="Z11" s="86" t="s">
        <v>91</v>
      </c>
      <c r="AA11" s="87">
        <v>100000.0</v>
      </c>
      <c r="AB11" s="143" t="s">
        <v>301</v>
      </c>
      <c r="AC11" s="135">
        <v>50000.0</v>
      </c>
      <c r="AD11" s="136" t="s">
        <v>305</v>
      </c>
      <c r="AE11" s="145" t="s">
        <v>307</v>
      </c>
      <c r="AF11" s="92"/>
      <c r="AG11" s="92"/>
    </row>
    <row r="12">
      <c r="A12" s="148">
        <v>10.0</v>
      </c>
      <c r="B12" s="150">
        <v>45851.0</v>
      </c>
      <c r="C12" s="151"/>
      <c r="D12" s="152" t="s">
        <v>54</v>
      </c>
      <c r="E12" s="154" t="s">
        <v>309</v>
      </c>
      <c r="F12" s="86">
        <v>116554.0</v>
      </c>
      <c r="G12" s="71" t="s">
        <v>91</v>
      </c>
      <c r="H12" s="103">
        <v>30.68</v>
      </c>
      <c r="I12" s="96">
        <f t="shared" si="1"/>
        <v>3575876.72</v>
      </c>
      <c r="J12" s="155"/>
      <c r="K12" s="155"/>
      <c r="L12" s="155"/>
      <c r="M12" s="72">
        <v>1879000.0</v>
      </c>
      <c r="N12" s="156">
        <f>I12-M12-U12-AA12</f>
        <v>1596876.72</v>
      </c>
      <c r="O12" s="71" t="s">
        <v>91</v>
      </c>
      <c r="P12" s="71" t="s">
        <v>91</v>
      </c>
      <c r="Q12" s="71" t="s">
        <v>91</v>
      </c>
      <c r="R12" s="71" t="s">
        <v>91</v>
      </c>
      <c r="S12" s="71" t="s">
        <v>91</v>
      </c>
      <c r="T12" s="158">
        <v>0.0</v>
      </c>
      <c r="U12" s="99">
        <f>8*T12</f>
        <v>0</v>
      </c>
      <c r="V12" s="84" t="s">
        <v>154</v>
      </c>
      <c r="W12" s="85" t="s">
        <v>91</v>
      </c>
      <c r="X12" s="86" t="s">
        <v>91</v>
      </c>
      <c r="Y12" s="85" t="s">
        <v>91</v>
      </c>
      <c r="Z12" s="86" t="s">
        <v>91</v>
      </c>
      <c r="AA12" s="87">
        <v>100000.0</v>
      </c>
      <c r="AB12" s="143" t="s">
        <v>319</v>
      </c>
      <c r="AC12" s="135">
        <v>50000.0</v>
      </c>
      <c r="AD12" s="136" t="s">
        <v>320</v>
      </c>
      <c r="AE12" s="137" t="s">
        <v>321</v>
      </c>
      <c r="AF12" s="92"/>
      <c r="AG12" s="92"/>
    </row>
    <row r="13">
      <c r="A13" s="163">
        <v>11.0</v>
      </c>
      <c r="B13" s="164">
        <v>45853.0</v>
      </c>
      <c r="C13" s="164"/>
      <c r="D13" s="165" t="s">
        <v>289</v>
      </c>
      <c r="E13" s="165" t="s">
        <v>291</v>
      </c>
      <c r="F13" s="149">
        <v>133056.0</v>
      </c>
      <c r="G13" s="71" t="s">
        <v>91</v>
      </c>
      <c r="H13" s="103">
        <v>34.26</v>
      </c>
      <c r="I13" s="96">
        <f t="shared" si="1"/>
        <v>4558498.56</v>
      </c>
      <c r="J13" s="96"/>
      <c r="K13" s="96"/>
      <c r="L13" s="96"/>
      <c r="M13" s="95">
        <f t="shared" ref="M13:M16" si="8">ROUND(IF(H13&gt;31,31,H13)*47.275753%*F13,-3)</f>
        <v>1950000</v>
      </c>
      <c r="N13" s="95">
        <f t="shared" ref="N13:N15" si="9">I13-M13-U13-AA13-AC13</f>
        <v>2308498.56</v>
      </c>
      <c r="O13" s="71" t="s">
        <v>91</v>
      </c>
      <c r="P13" s="71" t="s">
        <v>91</v>
      </c>
      <c r="Q13" s="71" t="s">
        <v>91</v>
      </c>
      <c r="R13" s="71" t="s">
        <v>91</v>
      </c>
      <c r="S13" s="71" t="s">
        <v>91</v>
      </c>
      <c r="T13" s="166">
        <v>50000.0</v>
      </c>
      <c r="U13" s="99">
        <f t="shared" ref="U13:U14" si="10">3*T13</f>
        <v>150000</v>
      </c>
      <c r="V13" s="84" t="s">
        <v>154</v>
      </c>
      <c r="W13" s="85" t="s">
        <v>91</v>
      </c>
      <c r="X13" s="86" t="s">
        <v>91</v>
      </c>
      <c r="Y13" s="85" t="s">
        <v>91</v>
      </c>
      <c r="Z13" s="86" t="s">
        <v>91</v>
      </c>
      <c r="AA13" s="87">
        <v>100000.0</v>
      </c>
      <c r="AB13" s="143" t="s">
        <v>337</v>
      </c>
      <c r="AC13" s="135">
        <v>50000.0</v>
      </c>
      <c r="AD13" s="136" t="s">
        <v>338</v>
      </c>
      <c r="AE13" s="145"/>
      <c r="AF13" s="92"/>
      <c r="AG13" s="92"/>
    </row>
    <row r="14">
      <c r="A14" s="163">
        <v>12.0</v>
      </c>
      <c r="B14" s="164">
        <v>45858.0</v>
      </c>
      <c r="C14" s="164"/>
      <c r="D14" s="165" t="s">
        <v>289</v>
      </c>
      <c r="E14" s="165" t="s">
        <v>291</v>
      </c>
      <c r="F14" s="149">
        <v>133056.0</v>
      </c>
      <c r="G14" s="71" t="s">
        <v>91</v>
      </c>
      <c r="H14" s="103">
        <v>33.9</v>
      </c>
      <c r="I14" s="96">
        <f t="shared" si="1"/>
        <v>4510598.4</v>
      </c>
      <c r="J14" s="96"/>
      <c r="K14" s="96"/>
      <c r="L14" s="96"/>
      <c r="M14" s="95">
        <f t="shared" si="8"/>
        <v>1950000</v>
      </c>
      <c r="N14" s="95">
        <f t="shared" si="9"/>
        <v>2260598.4</v>
      </c>
      <c r="O14" s="71" t="s">
        <v>91</v>
      </c>
      <c r="P14" s="71" t="s">
        <v>91</v>
      </c>
      <c r="Q14" s="71" t="s">
        <v>91</v>
      </c>
      <c r="R14" s="71" t="s">
        <v>91</v>
      </c>
      <c r="S14" s="71" t="s">
        <v>91</v>
      </c>
      <c r="T14" s="166">
        <v>50000.0</v>
      </c>
      <c r="U14" s="99">
        <f t="shared" si="10"/>
        <v>150000</v>
      </c>
      <c r="V14" s="84" t="s">
        <v>154</v>
      </c>
      <c r="W14" s="85" t="s">
        <v>91</v>
      </c>
      <c r="X14" s="86" t="s">
        <v>91</v>
      </c>
      <c r="Y14" s="85" t="s">
        <v>91</v>
      </c>
      <c r="Z14" s="86" t="s">
        <v>91</v>
      </c>
      <c r="AA14" s="87">
        <v>100000.0</v>
      </c>
      <c r="AB14" s="143" t="s">
        <v>342</v>
      </c>
      <c r="AC14" s="135">
        <v>50000.0</v>
      </c>
      <c r="AD14" s="136" t="s">
        <v>343</v>
      </c>
      <c r="AE14" s="145" t="s">
        <v>344</v>
      </c>
      <c r="AF14" s="92"/>
      <c r="AG14" s="92"/>
    </row>
    <row r="15">
      <c r="A15" s="163">
        <v>13.0</v>
      </c>
      <c r="B15" s="164">
        <v>45861.0</v>
      </c>
      <c r="C15" s="164">
        <v>45862.0</v>
      </c>
      <c r="D15" s="165" t="s">
        <v>289</v>
      </c>
      <c r="E15" s="165" t="s">
        <v>291</v>
      </c>
      <c r="F15" s="149">
        <v>133056.0</v>
      </c>
      <c r="G15" s="71" t="s">
        <v>91</v>
      </c>
      <c r="H15" s="103">
        <v>32.5</v>
      </c>
      <c r="I15" s="96">
        <f t="shared" si="1"/>
        <v>4324320</v>
      </c>
      <c r="J15" s="96"/>
      <c r="K15" s="96"/>
      <c r="L15" s="96"/>
      <c r="M15" s="95">
        <f t="shared" si="8"/>
        <v>1950000</v>
      </c>
      <c r="N15" s="95">
        <f t="shared" si="9"/>
        <v>2174320</v>
      </c>
      <c r="O15" s="71" t="s">
        <v>91</v>
      </c>
      <c r="P15" s="71" t="s">
        <v>91</v>
      </c>
      <c r="Q15" s="71" t="s">
        <v>91</v>
      </c>
      <c r="R15" s="71" t="s">
        <v>91</v>
      </c>
      <c r="S15" s="71" t="s">
        <v>91</v>
      </c>
      <c r="T15" s="166">
        <v>50000.0</v>
      </c>
      <c r="U15" s="99">
        <f>1*T15</f>
        <v>50000</v>
      </c>
      <c r="V15" s="84" t="s">
        <v>154</v>
      </c>
      <c r="W15" s="85" t="s">
        <v>91</v>
      </c>
      <c r="X15" s="86" t="s">
        <v>91</v>
      </c>
      <c r="Y15" s="85" t="s">
        <v>91</v>
      </c>
      <c r="Z15" s="86" t="s">
        <v>91</v>
      </c>
      <c r="AA15" s="87">
        <v>100000.0</v>
      </c>
      <c r="AB15" s="143" t="s">
        <v>349</v>
      </c>
      <c r="AC15" s="135">
        <v>50000.0</v>
      </c>
      <c r="AD15" s="136" t="s">
        <v>350</v>
      </c>
      <c r="AE15" s="145" t="s">
        <v>351</v>
      </c>
      <c r="AF15" s="92"/>
      <c r="AG15" s="92"/>
    </row>
    <row r="16">
      <c r="A16" s="169">
        <v>14.0</v>
      </c>
      <c r="B16" s="164">
        <v>45863.0</v>
      </c>
      <c r="C16" s="164">
        <v>45865.0</v>
      </c>
      <c r="D16" s="165" t="s">
        <v>289</v>
      </c>
      <c r="E16" s="165" t="s">
        <v>291</v>
      </c>
      <c r="F16" s="149">
        <v>133056.0</v>
      </c>
      <c r="G16" s="71" t="s">
        <v>91</v>
      </c>
      <c r="H16" s="103">
        <v>34.42</v>
      </c>
      <c r="I16" s="96">
        <f t="shared" si="1"/>
        <v>4579787.52</v>
      </c>
      <c r="J16" s="96"/>
      <c r="K16" s="96"/>
      <c r="L16" s="96"/>
      <c r="M16" s="95">
        <f t="shared" si="8"/>
        <v>1950000</v>
      </c>
      <c r="N16" s="95">
        <f t="shared" ref="N16:N18" si="11">I16-M16-U16-AA16-AC16-W16</f>
        <v>2279787.52</v>
      </c>
      <c r="O16" s="71" t="s">
        <v>91</v>
      </c>
      <c r="P16" s="71" t="s">
        <v>91</v>
      </c>
      <c r="Q16" s="71" t="s">
        <v>91</v>
      </c>
      <c r="R16" s="71" t="s">
        <v>91</v>
      </c>
      <c r="S16" s="71" t="s">
        <v>91</v>
      </c>
      <c r="T16" s="166">
        <v>50000.0</v>
      </c>
      <c r="U16" s="99">
        <f>3*T16</f>
        <v>150000</v>
      </c>
      <c r="V16" s="84" t="s">
        <v>154</v>
      </c>
      <c r="W16" s="171">
        <v>50000.0</v>
      </c>
      <c r="X16" s="172" t="s">
        <v>362</v>
      </c>
      <c r="Y16" s="85" t="s">
        <v>91</v>
      </c>
      <c r="Z16" s="86" t="s">
        <v>91</v>
      </c>
      <c r="AA16" s="87">
        <v>100000.0</v>
      </c>
      <c r="AB16" s="143" t="s">
        <v>363</v>
      </c>
      <c r="AC16" s="135">
        <v>50000.0</v>
      </c>
      <c r="AD16" s="136" t="s">
        <v>364</v>
      </c>
      <c r="AE16" s="145" t="s">
        <v>365</v>
      </c>
      <c r="AF16" s="92"/>
      <c r="AG16" s="92"/>
    </row>
    <row r="17">
      <c r="A17" s="169">
        <v>15.0</v>
      </c>
      <c r="B17" s="164">
        <v>45867.0</v>
      </c>
      <c r="C17" s="164">
        <v>45869.0</v>
      </c>
      <c r="D17" s="165" t="s">
        <v>366</v>
      </c>
      <c r="E17" s="165" t="s">
        <v>368</v>
      </c>
      <c r="F17" s="149">
        <v>164989.4</v>
      </c>
      <c r="G17" s="71" t="s">
        <v>91</v>
      </c>
      <c r="H17" s="103">
        <v>32.78</v>
      </c>
      <c r="I17" s="96">
        <f t="shared" si="1"/>
        <v>5408352.532</v>
      </c>
      <c r="J17" s="96"/>
      <c r="K17" s="96"/>
      <c r="L17" s="96"/>
      <c r="M17" s="95">
        <f>ROUND(IF(H17&gt;31,31,H17)*51.8117352%*F17,-3)</f>
        <v>2650000</v>
      </c>
      <c r="N17" s="95">
        <f t="shared" si="11"/>
        <v>2558352.532</v>
      </c>
      <c r="O17" s="71" t="s">
        <v>91</v>
      </c>
      <c r="P17" s="71" t="s">
        <v>91</v>
      </c>
      <c r="Q17" s="71" t="s">
        <v>91</v>
      </c>
      <c r="R17" s="71" t="s">
        <v>91</v>
      </c>
      <c r="S17" s="71" t="s">
        <v>91</v>
      </c>
      <c r="T17" s="166">
        <v>50000.0</v>
      </c>
      <c r="U17" s="99">
        <f t="shared" ref="U17:U18" si="12">1*T17</f>
        <v>50000</v>
      </c>
      <c r="V17" s="84" t="s">
        <v>154</v>
      </c>
      <c r="W17" s="85">
        <v>0.0</v>
      </c>
      <c r="X17" s="86" t="s">
        <v>91</v>
      </c>
      <c r="Y17" s="85" t="s">
        <v>91</v>
      </c>
      <c r="Z17" s="86" t="s">
        <v>91</v>
      </c>
      <c r="AA17" s="87">
        <v>100000.0</v>
      </c>
      <c r="AB17" s="143" t="s">
        <v>378</v>
      </c>
      <c r="AC17" s="135">
        <v>50000.0</v>
      </c>
      <c r="AD17" s="136" t="s">
        <v>379</v>
      </c>
      <c r="AE17" s="145" t="s">
        <v>380</v>
      </c>
      <c r="AF17" s="92"/>
      <c r="AG17" s="92"/>
    </row>
    <row r="18">
      <c r="A18" s="181">
        <v>16.0</v>
      </c>
      <c r="B18" s="164">
        <v>45871.0</v>
      </c>
      <c r="C18" s="164">
        <v>45873.0</v>
      </c>
      <c r="D18" s="165" t="s">
        <v>166</v>
      </c>
      <c r="E18" s="94" t="s">
        <v>167</v>
      </c>
      <c r="F18" s="102">
        <v>76308.5</v>
      </c>
      <c r="G18" s="71" t="s">
        <v>91</v>
      </c>
      <c r="H18" s="103">
        <v>32.58</v>
      </c>
      <c r="I18" s="96">
        <f t="shared" si="1"/>
        <v>2486130.93</v>
      </c>
      <c r="J18" s="97"/>
      <c r="K18" s="97"/>
      <c r="L18" s="97"/>
      <c r="M18" s="81">
        <f>ROUND(IF(H18&gt;31,31,H18)*61.29616%*F18,-3)</f>
        <v>1450000</v>
      </c>
      <c r="N18" s="182">
        <f t="shared" si="11"/>
        <v>786130.93</v>
      </c>
      <c r="O18" s="71" t="s">
        <v>91</v>
      </c>
      <c r="P18" s="71" t="s">
        <v>91</v>
      </c>
      <c r="Q18" s="71" t="s">
        <v>91</v>
      </c>
      <c r="R18" s="71" t="s">
        <v>91</v>
      </c>
      <c r="S18" s="71" t="s">
        <v>91</v>
      </c>
      <c r="T18" s="166">
        <v>25000.0</v>
      </c>
      <c r="U18" s="99">
        <f t="shared" si="12"/>
        <v>25000</v>
      </c>
      <c r="V18" s="84" t="s">
        <v>154</v>
      </c>
      <c r="W18" s="171">
        <v>75000.0</v>
      </c>
      <c r="X18" s="172" t="s">
        <v>385</v>
      </c>
      <c r="Y18" s="85" t="s">
        <v>91</v>
      </c>
      <c r="Z18" s="86" t="s">
        <v>91</v>
      </c>
      <c r="AA18" s="87">
        <v>100000.0</v>
      </c>
      <c r="AB18" s="143" t="s">
        <v>386</v>
      </c>
      <c r="AC18" s="135">
        <v>50000.0</v>
      </c>
      <c r="AD18" s="136" t="s">
        <v>387</v>
      </c>
      <c r="AE18" s="145" t="s">
        <v>388</v>
      </c>
      <c r="AF18" s="92"/>
      <c r="AG18" s="92"/>
    </row>
    <row r="19">
      <c r="A19" s="183">
        <v>17.0</v>
      </c>
      <c r="B19" s="150">
        <v>45874.0</v>
      </c>
      <c r="C19" s="150">
        <v>45875.0</v>
      </c>
      <c r="D19" s="184" t="s">
        <v>266</v>
      </c>
      <c r="E19" s="154" t="s">
        <v>280</v>
      </c>
      <c r="F19" s="86">
        <v>103334.4</v>
      </c>
      <c r="G19" s="71" t="s">
        <v>91</v>
      </c>
      <c r="H19" s="103">
        <v>34.04</v>
      </c>
      <c r="I19" s="96">
        <f t="shared" si="1"/>
        <v>3517502.976</v>
      </c>
      <c r="J19" s="155"/>
      <c r="K19" s="155"/>
      <c r="L19" s="155"/>
      <c r="M19" s="156">
        <f>ROUND(IF(H19&gt;31,31,H19)*49.94744%*F19,-3)</f>
        <v>1600000</v>
      </c>
      <c r="N19" s="185">
        <f t="shared" ref="N19:N21" si="13">I19-M19-U19-AA19-AC18-W19</f>
        <v>1677502.976</v>
      </c>
      <c r="O19" s="71" t="s">
        <v>91</v>
      </c>
      <c r="P19" s="71" t="s">
        <v>91</v>
      </c>
      <c r="Q19" s="71" t="s">
        <v>91</v>
      </c>
      <c r="R19" s="71" t="s">
        <v>91</v>
      </c>
      <c r="S19" s="71" t="s">
        <v>91</v>
      </c>
      <c r="T19" s="166">
        <v>30000.0</v>
      </c>
      <c r="U19" s="99">
        <f>3*T19</f>
        <v>90000</v>
      </c>
      <c r="V19" s="84" t="s">
        <v>154</v>
      </c>
      <c r="W19" s="186">
        <v>0.0</v>
      </c>
      <c r="X19" s="86" t="s">
        <v>91</v>
      </c>
      <c r="Y19" s="85" t="s">
        <v>91</v>
      </c>
      <c r="Z19" s="86" t="s">
        <v>91</v>
      </c>
      <c r="AA19" s="187">
        <v>100000.0</v>
      </c>
      <c r="AB19" s="143" t="s">
        <v>395</v>
      </c>
      <c r="AC19" s="188">
        <v>50000.0</v>
      </c>
      <c r="AD19" s="189" t="s">
        <v>396</v>
      </c>
      <c r="AE19" s="100"/>
      <c r="AF19" s="92"/>
      <c r="AG19" s="92"/>
    </row>
    <row r="20">
      <c r="A20" s="183">
        <v>18.0</v>
      </c>
      <c r="B20" s="150">
        <v>45877.0</v>
      </c>
      <c r="C20" s="150">
        <v>45880.0</v>
      </c>
      <c r="D20" s="184" t="s">
        <v>89</v>
      </c>
      <c r="E20" s="154" t="s">
        <v>397</v>
      </c>
      <c r="F20" s="86">
        <v>190080.0</v>
      </c>
      <c r="G20" s="71" t="s">
        <v>91</v>
      </c>
      <c r="H20" s="103">
        <v>33.43</v>
      </c>
      <c r="I20" s="96">
        <f t="shared" si="1"/>
        <v>6354374.4</v>
      </c>
      <c r="J20" s="155"/>
      <c r="K20" s="155"/>
      <c r="L20" s="155"/>
      <c r="M20" s="156">
        <f t="shared" ref="M20:M21" si="14">ROUND(IF(H20&gt;31,31,H20)*47.5182%*F20,-3)</f>
        <v>2800000</v>
      </c>
      <c r="N20" s="185">
        <f t="shared" si="13"/>
        <v>3229374.4</v>
      </c>
      <c r="O20" s="71" t="s">
        <v>91</v>
      </c>
      <c r="P20" s="71" t="s">
        <v>91</v>
      </c>
      <c r="Q20" s="71" t="s">
        <v>91</v>
      </c>
      <c r="R20" s="71" t="s">
        <v>91</v>
      </c>
      <c r="S20" s="71" t="s">
        <v>91</v>
      </c>
      <c r="T20" s="166">
        <v>50000.0</v>
      </c>
      <c r="U20" s="99">
        <f t="shared" ref="U20:U21" si="15">2*T20</f>
        <v>100000</v>
      </c>
      <c r="V20" s="84" t="s">
        <v>154</v>
      </c>
      <c r="W20" s="171">
        <v>75000.0</v>
      </c>
      <c r="X20" s="172" t="s">
        <v>402</v>
      </c>
      <c r="Y20" s="85" t="s">
        <v>91</v>
      </c>
      <c r="Z20" s="86" t="s">
        <v>91</v>
      </c>
      <c r="AA20" s="187">
        <v>100000.0</v>
      </c>
      <c r="AB20" s="143" t="s">
        <v>403</v>
      </c>
      <c r="AC20" s="188">
        <v>50000.0</v>
      </c>
      <c r="AD20" s="189" t="s">
        <v>405</v>
      </c>
      <c r="AE20" s="145" t="s">
        <v>406</v>
      </c>
      <c r="AF20" s="92"/>
      <c r="AG20" s="92"/>
    </row>
    <row r="21">
      <c r="A21" s="183">
        <v>18.0</v>
      </c>
      <c r="B21" s="150">
        <v>45882.0</v>
      </c>
      <c r="C21" s="150">
        <v>45884.0</v>
      </c>
      <c r="D21" s="184" t="s">
        <v>89</v>
      </c>
      <c r="E21" s="154" t="s">
        <v>397</v>
      </c>
      <c r="F21" s="86">
        <v>190080.0</v>
      </c>
      <c r="G21" s="71" t="s">
        <v>91</v>
      </c>
      <c r="H21" s="103">
        <v>33.21</v>
      </c>
      <c r="I21" s="96">
        <f t="shared" si="1"/>
        <v>6312556.8</v>
      </c>
      <c r="J21" s="155"/>
      <c r="K21" s="155"/>
      <c r="L21" s="155"/>
      <c r="M21" s="156">
        <f t="shared" si="14"/>
        <v>2800000</v>
      </c>
      <c r="N21" s="185">
        <f t="shared" si="13"/>
        <v>3262556.8</v>
      </c>
      <c r="O21" s="71" t="s">
        <v>91</v>
      </c>
      <c r="P21" s="71" t="s">
        <v>91</v>
      </c>
      <c r="Q21" s="71" t="s">
        <v>91</v>
      </c>
      <c r="R21" s="71" t="s">
        <v>91</v>
      </c>
      <c r="S21" s="71" t="s">
        <v>91</v>
      </c>
      <c r="T21" s="166">
        <v>50000.0</v>
      </c>
      <c r="U21" s="99">
        <f t="shared" si="15"/>
        <v>100000</v>
      </c>
      <c r="V21" s="84" t="s">
        <v>154</v>
      </c>
      <c r="W21" s="186">
        <v>0.0</v>
      </c>
      <c r="X21" s="86" t="s">
        <v>91</v>
      </c>
      <c r="Y21" s="85" t="s">
        <v>91</v>
      </c>
      <c r="Z21" s="86" t="s">
        <v>91</v>
      </c>
      <c r="AA21" s="187">
        <v>100000.0</v>
      </c>
      <c r="AB21" s="143" t="s">
        <v>410</v>
      </c>
      <c r="AC21" s="188">
        <v>50000.0</v>
      </c>
      <c r="AD21" s="189" t="s">
        <v>411</v>
      </c>
      <c r="AE21" s="145"/>
      <c r="AF21" s="92"/>
      <c r="AG21" s="92"/>
    </row>
    <row r="22">
      <c r="A22" s="169">
        <v>19.0</v>
      </c>
      <c r="B22" s="150">
        <v>45886.0</v>
      </c>
      <c r="C22" s="150">
        <v>45888.0</v>
      </c>
      <c r="D22" s="165" t="s">
        <v>366</v>
      </c>
      <c r="E22" s="165" t="s">
        <v>368</v>
      </c>
      <c r="F22" s="149">
        <v>164989.4</v>
      </c>
      <c r="G22" s="71" t="s">
        <v>91</v>
      </c>
      <c r="H22" s="103">
        <v>34.13</v>
      </c>
      <c r="I22" s="96">
        <f t="shared" si="1"/>
        <v>5631088.222</v>
      </c>
      <c r="J22" s="96"/>
      <c r="K22" s="96"/>
      <c r="L22" s="96"/>
      <c r="M22" s="95">
        <f>ROUND(IF(H22&gt;31,31,H22)*51.8117352%*F22,-3)</f>
        <v>2650000</v>
      </c>
      <c r="N22" s="95">
        <f t="shared" ref="N22:N32" si="16">I22-M22-U22-AA22-AC22-W22</f>
        <v>2681088.222</v>
      </c>
      <c r="O22" s="71" t="s">
        <v>91</v>
      </c>
      <c r="P22" s="71" t="s">
        <v>91</v>
      </c>
      <c r="Q22" s="71" t="s">
        <v>91</v>
      </c>
      <c r="R22" s="71" t="s">
        <v>91</v>
      </c>
      <c r="S22" s="71" t="s">
        <v>91</v>
      </c>
      <c r="T22" s="166">
        <v>50000.0</v>
      </c>
      <c r="U22" s="99">
        <f>3*T22</f>
        <v>150000</v>
      </c>
      <c r="V22" s="84" t="s">
        <v>154</v>
      </c>
      <c r="W22" s="85">
        <v>0.0</v>
      </c>
      <c r="X22" s="86" t="s">
        <v>91</v>
      </c>
      <c r="Y22" s="85" t="s">
        <v>91</v>
      </c>
      <c r="Z22" s="86" t="s">
        <v>91</v>
      </c>
      <c r="AA22" s="87">
        <v>100000.0</v>
      </c>
      <c r="AB22" s="143" t="s">
        <v>431</v>
      </c>
      <c r="AC22" s="135">
        <v>50000.0</v>
      </c>
      <c r="AD22" s="189" t="s">
        <v>433</v>
      </c>
      <c r="AE22" s="145" t="s">
        <v>434</v>
      </c>
      <c r="AF22" s="92"/>
      <c r="AG22" s="92"/>
    </row>
    <row r="23">
      <c r="A23" s="169">
        <v>20.0</v>
      </c>
      <c r="B23" s="150">
        <v>45891.0</v>
      </c>
      <c r="C23" s="150">
        <v>45892.0</v>
      </c>
      <c r="D23" s="165" t="s">
        <v>352</v>
      </c>
      <c r="E23" s="165" t="s">
        <v>440</v>
      </c>
      <c r="F23" s="86">
        <v>196733.28</v>
      </c>
      <c r="G23" s="71" t="s">
        <v>91</v>
      </c>
      <c r="H23" s="103">
        <v>33.08</v>
      </c>
      <c r="I23" s="96">
        <f t="shared" si="1"/>
        <v>6507936.902</v>
      </c>
      <c r="J23" s="96"/>
      <c r="K23" s="96"/>
      <c r="L23" s="96"/>
      <c r="M23" s="95">
        <f>ROUND(IF(H23&gt;31,31,H23)*50.83036%*F23,-3)</f>
        <v>3100000</v>
      </c>
      <c r="N23" s="95">
        <f t="shared" si="16"/>
        <v>3157936.902</v>
      </c>
      <c r="O23" s="71" t="s">
        <v>91</v>
      </c>
      <c r="P23" s="71" t="s">
        <v>91</v>
      </c>
      <c r="Q23" s="71" t="s">
        <v>91</v>
      </c>
      <c r="R23" s="71" t="s">
        <v>91</v>
      </c>
      <c r="S23" s="71" t="s">
        <v>91</v>
      </c>
      <c r="T23" s="166">
        <v>50000.0</v>
      </c>
      <c r="U23" s="99">
        <f>2*T23</f>
        <v>100000</v>
      </c>
      <c r="V23" s="84" t="s">
        <v>450</v>
      </c>
      <c r="W23" s="85">
        <v>0.0</v>
      </c>
      <c r="X23" s="86" t="s">
        <v>91</v>
      </c>
      <c r="Y23" s="85" t="s">
        <v>91</v>
      </c>
      <c r="Z23" s="86" t="s">
        <v>91</v>
      </c>
      <c r="AA23" s="87">
        <v>100000.0</v>
      </c>
      <c r="AB23" s="143" t="s">
        <v>452</v>
      </c>
      <c r="AC23" s="135">
        <v>50000.0</v>
      </c>
      <c r="AD23" s="189" t="s">
        <v>453</v>
      </c>
      <c r="AE23" s="207" t="s">
        <v>454</v>
      </c>
      <c r="AF23" s="92"/>
      <c r="AG23" s="92"/>
    </row>
    <row r="24">
      <c r="A24" s="169">
        <v>21.0</v>
      </c>
      <c r="B24" s="150">
        <v>45894.0</v>
      </c>
      <c r="C24" s="150">
        <v>45896.0</v>
      </c>
      <c r="D24" s="165" t="s">
        <v>335</v>
      </c>
      <c r="E24" s="165" t="s">
        <v>457</v>
      </c>
      <c r="F24" s="86">
        <v>165335.0</v>
      </c>
      <c r="G24" s="71" t="s">
        <v>91</v>
      </c>
      <c r="H24" s="103">
        <v>32.06</v>
      </c>
      <c r="I24" s="96">
        <f t="shared" si="1"/>
        <v>5300640.1</v>
      </c>
      <c r="J24" s="96"/>
      <c r="K24" s="96"/>
      <c r="L24" s="96"/>
      <c r="M24" s="95">
        <f>ROUND(IF(H24&gt;31,31,H24)*50.7279%*F24,-3)</f>
        <v>2600000</v>
      </c>
      <c r="N24" s="95">
        <f t="shared" si="16"/>
        <v>2460640.1</v>
      </c>
      <c r="O24" s="71" t="s">
        <v>91</v>
      </c>
      <c r="P24" s="71" t="s">
        <v>91</v>
      </c>
      <c r="Q24" s="71" t="s">
        <v>91</v>
      </c>
      <c r="R24" s="71" t="s">
        <v>91</v>
      </c>
      <c r="S24" s="71" t="s">
        <v>91</v>
      </c>
      <c r="T24" s="166">
        <v>40000.0</v>
      </c>
      <c r="U24" s="99">
        <f>1*T24</f>
        <v>40000</v>
      </c>
      <c r="V24" s="84" t="s">
        <v>450</v>
      </c>
      <c r="W24" s="171">
        <v>50000.0</v>
      </c>
      <c r="X24" s="172" t="s">
        <v>463</v>
      </c>
      <c r="Y24" s="85" t="s">
        <v>91</v>
      </c>
      <c r="Z24" s="86" t="s">
        <v>91</v>
      </c>
      <c r="AA24" s="87">
        <v>100000.0</v>
      </c>
      <c r="AB24" s="143" t="s">
        <v>467</v>
      </c>
      <c r="AC24" s="135">
        <v>50000.0</v>
      </c>
      <c r="AD24" s="189" t="s">
        <v>468</v>
      </c>
      <c r="AE24" s="145"/>
      <c r="AF24" s="92"/>
      <c r="AG24" s="92"/>
    </row>
    <row r="25">
      <c r="A25" s="169">
        <v>23.0</v>
      </c>
      <c r="B25" s="150">
        <v>45897.0</v>
      </c>
      <c r="C25" s="150">
        <v>45898.0</v>
      </c>
      <c r="D25" s="165" t="s">
        <v>472</v>
      </c>
      <c r="E25" s="165" t="s">
        <v>473</v>
      </c>
      <c r="F25" s="149">
        <v>85916.2</v>
      </c>
      <c r="G25" s="71" t="s">
        <v>91</v>
      </c>
      <c r="H25" s="103">
        <v>33.28</v>
      </c>
      <c r="I25" s="96">
        <f t="shared" si="1"/>
        <v>2859291.136</v>
      </c>
      <c r="J25" s="96"/>
      <c r="K25" s="96"/>
      <c r="L25" s="96"/>
      <c r="M25" s="95">
        <f>ROUND(IF(H25&gt;31,31,H25)*60.0735404%*F25,-3)</f>
        <v>1600000</v>
      </c>
      <c r="N25" s="95">
        <f t="shared" si="16"/>
        <v>1009291.136</v>
      </c>
      <c r="O25" s="71" t="s">
        <v>91</v>
      </c>
      <c r="P25" s="71" t="s">
        <v>91</v>
      </c>
      <c r="Q25" s="71" t="s">
        <v>91</v>
      </c>
      <c r="R25" s="71" t="s">
        <v>91</v>
      </c>
      <c r="S25" s="71" t="s">
        <v>91</v>
      </c>
      <c r="T25" s="166">
        <v>50000.0</v>
      </c>
      <c r="U25" s="99">
        <f t="shared" ref="U25:U26" si="17">2*T25</f>
        <v>100000</v>
      </c>
      <c r="V25" s="84" t="s">
        <v>450</v>
      </c>
      <c r="W25" s="85">
        <v>0.0</v>
      </c>
      <c r="X25" s="86" t="s">
        <v>91</v>
      </c>
      <c r="Y25" s="85" t="s">
        <v>91</v>
      </c>
      <c r="Z25" s="86" t="s">
        <v>91</v>
      </c>
      <c r="AA25" s="187">
        <v>100000.0</v>
      </c>
      <c r="AB25" s="143" t="s">
        <v>484</v>
      </c>
      <c r="AC25" s="188">
        <v>50000.0</v>
      </c>
      <c r="AD25" s="189" t="s">
        <v>487</v>
      </c>
      <c r="AE25" s="145"/>
      <c r="AF25" s="92"/>
      <c r="AG25" s="92"/>
    </row>
    <row r="26">
      <c r="A26" s="214">
        <v>24.0</v>
      </c>
      <c r="B26" s="164">
        <v>45900.0</v>
      </c>
      <c r="C26" s="164">
        <v>45903.0</v>
      </c>
      <c r="D26" s="165" t="s">
        <v>366</v>
      </c>
      <c r="E26" s="165" t="s">
        <v>368</v>
      </c>
      <c r="F26" s="149">
        <v>164989.4</v>
      </c>
      <c r="G26" s="71" t="s">
        <v>91</v>
      </c>
      <c r="H26" s="103">
        <v>33.02</v>
      </c>
      <c r="I26" s="96">
        <f t="shared" si="1"/>
        <v>5447949.988</v>
      </c>
      <c r="J26" s="96"/>
      <c r="K26" s="96"/>
      <c r="L26" s="96"/>
      <c r="M26" s="95">
        <f>ROUND(IF(H26&gt;31,31,H26)*51.8117352%*F26,-3)</f>
        <v>2650000</v>
      </c>
      <c r="N26" s="95">
        <f t="shared" si="16"/>
        <v>2497949.988</v>
      </c>
      <c r="O26" s="71" t="s">
        <v>91</v>
      </c>
      <c r="P26" s="71" t="s">
        <v>91</v>
      </c>
      <c r="Q26" s="71" t="s">
        <v>91</v>
      </c>
      <c r="R26" s="71" t="s">
        <v>91</v>
      </c>
      <c r="S26" s="71" t="s">
        <v>91</v>
      </c>
      <c r="T26" s="166">
        <v>50000.0</v>
      </c>
      <c r="U26" s="99">
        <f t="shared" si="17"/>
        <v>100000</v>
      </c>
      <c r="V26" s="84" t="s">
        <v>450</v>
      </c>
      <c r="W26" s="171">
        <v>50000.0</v>
      </c>
      <c r="X26" s="172" t="s">
        <v>493</v>
      </c>
      <c r="Y26" s="85" t="s">
        <v>91</v>
      </c>
      <c r="Z26" s="86" t="s">
        <v>91</v>
      </c>
      <c r="AA26" s="85">
        <v>100000.0</v>
      </c>
      <c r="AB26" s="143" t="s">
        <v>496</v>
      </c>
      <c r="AC26" s="85">
        <v>50000.0</v>
      </c>
      <c r="AD26" s="189" t="s">
        <v>497</v>
      </c>
      <c r="AE26" s="215"/>
      <c r="AF26" s="92"/>
      <c r="AG26" s="92"/>
    </row>
    <row r="27">
      <c r="A27" s="214">
        <v>25.0</v>
      </c>
      <c r="B27" s="164">
        <v>45905.0</v>
      </c>
      <c r="C27" s="164">
        <v>45906.0</v>
      </c>
      <c r="D27" s="165" t="s">
        <v>302</v>
      </c>
      <c r="E27" s="165" t="s">
        <v>498</v>
      </c>
      <c r="F27" s="86">
        <v>82906.0</v>
      </c>
      <c r="G27" s="71" t="s">
        <v>91</v>
      </c>
      <c r="H27" s="103">
        <v>32.36</v>
      </c>
      <c r="I27" s="96">
        <f t="shared" si="1"/>
        <v>2682838.16</v>
      </c>
      <c r="J27" s="96"/>
      <c r="K27" s="96"/>
      <c r="L27" s="96"/>
      <c r="M27" s="95">
        <f>ROUND(IF(H27&gt;31,31,H27)*48.6365%*F27,-3)</f>
        <v>1250000</v>
      </c>
      <c r="N27" s="95">
        <f t="shared" si="16"/>
        <v>1262838.16</v>
      </c>
      <c r="O27" s="71" t="s">
        <v>91</v>
      </c>
      <c r="P27" s="71" t="s">
        <v>91</v>
      </c>
      <c r="Q27" s="71" t="s">
        <v>91</v>
      </c>
      <c r="R27" s="71" t="s">
        <v>91</v>
      </c>
      <c r="S27" s="71" t="s">
        <v>91</v>
      </c>
      <c r="T27" s="166">
        <v>20000.0</v>
      </c>
      <c r="U27" s="99">
        <f>1*T27</f>
        <v>20000</v>
      </c>
      <c r="V27" s="84" t="s">
        <v>450</v>
      </c>
      <c r="W27" s="85">
        <v>0.0</v>
      </c>
      <c r="X27" s="86" t="s">
        <v>91</v>
      </c>
      <c r="Y27" s="85" t="s">
        <v>91</v>
      </c>
      <c r="Z27" s="86" t="s">
        <v>91</v>
      </c>
      <c r="AA27" s="187">
        <v>100000.0</v>
      </c>
      <c r="AB27" s="143" t="s">
        <v>503</v>
      </c>
      <c r="AC27" s="188">
        <v>50000.0</v>
      </c>
      <c r="AD27" s="189" t="s">
        <v>505</v>
      </c>
      <c r="AE27" s="207" t="s">
        <v>506</v>
      </c>
      <c r="AF27" s="92"/>
      <c r="AG27" s="92"/>
    </row>
    <row r="28">
      <c r="A28" s="214">
        <v>26.0</v>
      </c>
      <c r="B28" s="164">
        <v>45907.0</v>
      </c>
      <c r="C28" s="164">
        <v>45908.0</v>
      </c>
      <c r="D28" s="184" t="s">
        <v>266</v>
      </c>
      <c r="E28" s="154" t="s">
        <v>280</v>
      </c>
      <c r="F28" s="86">
        <v>103334.4</v>
      </c>
      <c r="G28" s="71" t="s">
        <v>91</v>
      </c>
      <c r="H28" s="218">
        <v>31.74</v>
      </c>
      <c r="I28" s="96">
        <f t="shared" si="1"/>
        <v>3279833.856</v>
      </c>
      <c r="J28" s="155"/>
      <c r="K28" s="155"/>
      <c r="L28" s="155"/>
      <c r="M28" s="156">
        <f>ROUND(IF(H28&gt;31,31,H28)*49.94744%*F28,-3)</f>
        <v>1600000</v>
      </c>
      <c r="N28" s="185">
        <f t="shared" si="16"/>
        <v>1529833.856</v>
      </c>
      <c r="O28" s="71" t="s">
        <v>91</v>
      </c>
      <c r="P28" s="71" t="s">
        <v>91</v>
      </c>
      <c r="Q28" s="71" t="s">
        <v>91</v>
      </c>
      <c r="R28" s="71" t="s">
        <v>91</v>
      </c>
      <c r="S28" s="71" t="s">
        <v>91</v>
      </c>
      <c r="T28" s="166">
        <v>30000.0</v>
      </c>
      <c r="U28" s="99">
        <f t="shared" ref="U28:U29" si="18">0*T28</f>
        <v>0</v>
      </c>
      <c r="V28" s="84" t="s">
        <v>450</v>
      </c>
      <c r="W28" s="85">
        <v>0.0</v>
      </c>
      <c r="X28" s="86" t="s">
        <v>91</v>
      </c>
      <c r="Y28" s="85" t="s">
        <v>91</v>
      </c>
      <c r="Z28" s="86" t="s">
        <v>91</v>
      </c>
      <c r="AA28" s="187">
        <v>100000.0</v>
      </c>
      <c r="AB28" s="143" t="s">
        <v>517</v>
      </c>
      <c r="AC28" s="188">
        <v>50000.0</v>
      </c>
      <c r="AD28" s="189" t="s">
        <v>518</v>
      </c>
      <c r="AE28" s="221" t="s">
        <v>519</v>
      </c>
      <c r="AF28" s="92"/>
      <c r="AG28" s="92"/>
    </row>
    <row r="29">
      <c r="A29" s="214">
        <v>27.0</v>
      </c>
      <c r="B29" s="164">
        <v>45908.0</v>
      </c>
      <c r="C29" s="164">
        <v>45909.0</v>
      </c>
      <c r="D29" s="165" t="s">
        <v>352</v>
      </c>
      <c r="E29" s="165" t="s">
        <v>440</v>
      </c>
      <c r="F29" s="86">
        <v>196733.28</v>
      </c>
      <c r="G29" s="71" t="s">
        <v>91</v>
      </c>
      <c r="H29" s="103">
        <v>29.52</v>
      </c>
      <c r="I29" s="96">
        <f t="shared" si="1"/>
        <v>5807566.426</v>
      </c>
      <c r="J29" s="96"/>
      <c r="K29" s="96"/>
      <c r="L29" s="96"/>
      <c r="M29" s="95">
        <f>ROUND(IF(H29&gt;31,31,H29)*53.371%*F29,-3)</f>
        <v>3100000</v>
      </c>
      <c r="N29" s="185">
        <f t="shared" si="16"/>
        <v>2557566.426</v>
      </c>
      <c r="O29" s="71" t="s">
        <v>91</v>
      </c>
      <c r="P29" s="71" t="s">
        <v>91</v>
      </c>
      <c r="Q29" s="71" t="s">
        <v>91</v>
      </c>
      <c r="R29" s="71" t="s">
        <v>91</v>
      </c>
      <c r="S29" s="71" t="s">
        <v>91</v>
      </c>
      <c r="T29" s="166">
        <v>50000.0</v>
      </c>
      <c r="U29" s="99">
        <f t="shared" si="18"/>
        <v>0</v>
      </c>
      <c r="V29" s="84" t="s">
        <v>450</v>
      </c>
      <c r="W29" s="85">
        <v>0.0</v>
      </c>
      <c r="X29" s="86" t="s">
        <v>91</v>
      </c>
      <c r="Y29" s="85" t="s">
        <v>91</v>
      </c>
      <c r="Z29" s="86" t="s">
        <v>91</v>
      </c>
      <c r="AA29" s="87">
        <v>100000.0</v>
      </c>
      <c r="AB29" s="143" t="s">
        <v>526</v>
      </c>
      <c r="AC29" s="135">
        <v>50000.0</v>
      </c>
      <c r="AD29" s="189" t="s">
        <v>527</v>
      </c>
      <c r="AE29" s="215" t="s">
        <v>528</v>
      </c>
      <c r="AF29" s="92"/>
      <c r="AG29" s="92"/>
    </row>
    <row r="30">
      <c r="A30" s="183">
        <v>28.0</v>
      </c>
      <c r="B30" s="164">
        <v>45910.0</v>
      </c>
      <c r="C30" s="164">
        <v>45913.0</v>
      </c>
      <c r="D30" s="184" t="s">
        <v>89</v>
      </c>
      <c r="E30" s="154" t="s">
        <v>530</v>
      </c>
      <c r="F30" s="86">
        <v>190080.0</v>
      </c>
      <c r="G30" s="71" t="s">
        <v>91</v>
      </c>
      <c r="H30" s="103">
        <v>32.6</v>
      </c>
      <c r="I30" s="96">
        <f t="shared" si="1"/>
        <v>6196608</v>
      </c>
      <c r="J30" s="96"/>
      <c r="K30" s="96"/>
      <c r="L30" s="96"/>
      <c r="M30" s="228">
        <f>ROUND(IF(H30&gt;31,31,H30)*47.5182%*F30,-3)</f>
        <v>2800000</v>
      </c>
      <c r="N30" s="185">
        <f t="shared" si="16"/>
        <v>3096608</v>
      </c>
      <c r="O30" s="71" t="s">
        <v>91</v>
      </c>
      <c r="P30" s="71" t="s">
        <v>91</v>
      </c>
      <c r="Q30" s="71" t="s">
        <v>91</v>
      </c>
      <c r="R30" s="71" t="s">
        <v>91</v>
      </c>
      <c r="S30" s="71" t="s">
        <v>91</v>
      </c>
      <c r="T30" s="166">
        <v>50000.0</v>
      </c>
      <c r="U30" s="99">
        <f>1*T30</f>
        <v>50000</v>
      </c>
      <c r="V30" s="84" t="s">
        <v>450</v>
      </c>
      <c r="W30" s="186">
        <v>100000.0</v>
      </c>
      <c r="X30" s="172" t="s">
        <v>542</v>
      </c>
      <c r="Y30" s="85" t="s">
        <v>91</v>
      </c>
      <c r="Z30" s="86" t="s">
        <v>91</v>
      </c>
      <c r="AA30" s="187">
        <v>100000.0</v>
      </c>
      <c r="AB30" s="143" t="s">
        <v>543</v>
      </c>
      <c r="AC30" s="188">
        <v>50000.0</v>
      </c>
      <c r="AD30" s="189" t="s">
        <v>547</v>
      </c>
      <c r="AE30" s="145" t="s">
        <v>548</v>
      </c>
      <c r="AF30" s="92"/>
      <c r="AG30" s="92"/>
    </row>
    <row r="31">
      <c r="A31" s="214">
        <v>29.0</v>
      </c>
      <c r="B31" s="164">
        <v>45913.0</v>
      </c>
      <c r="C31" s="164">
        <v>45915.0</v>
      </c>
      <c r="D31" s="165" t="s">
        <v>366</v>
      </c>
      <c r="E31" s="165" t="s">
        <v>368</v>
      </c>
      <c r="F31" s="149">
        <v>164989.4</v>
      </c>
      <c r="G31" s="71" t="s">
        <v>91</v>
      </c>
      <c r="H31" s="103">
        <v>34.4</v>
      </c>
      <c r="I31" s="96">
        <f t="shared" si="1"/>
        <v>5675635.36</v>
      </c>
      <c r="J31" s="96"/>
      <c r="K31" s="96"/>
      <c r="L31" s="96"/>
      <c r="M31" s="95">
        <f>ROUND(IF(H31&gt;31,31,H31)*51.8117352%*F31,-3)</f>
        <v>2650000</v>
      </c>
      <c r="N31" s="185">
        <f t="shared" si="16"/>
        <v>2725635.36</v>
      </c>
      <c r="O31" s="71" t="s">
        <v>91</v>
      </c>
      <c r="P31" s="71" t="s">
        <v>91</v>
      </c>
      <c r="Q31" s="71" t="s">
        <v>91</v>
      </c>
      <c r="R31" s="71" t="s">
        <v>91</v>
      </c>
      <c r="S31" s="71" t="s">
        <v>91</v>
      </c>
      <c r="T31" s="166">
        <v>50000.0</v>
      </c>
      <c r="U31" s="99">
        <f>3*T31</f>
        <v>150000</v>
      </c>
      <c r="V31" s="84" t="s">
        <v>450</v>
      </c>
      <c r="W31" s="85">
        <v>0.0</v>
      </c>
      <c r="X31" s="86" t="s">
        <v>91</v>
      </c>
      <c r="Y31" s="85" t="s">
        <v>91</v>
      </c>
      <c r="Z31" s="86" t="s">
        <v>91</v>
      </c>
      <c r="AA31" s="85">
        <v>100000.0</v>
      </c>
      <c r="AB31" s="143" t="s">
        <v>561</v>
      </c>
      <c r="AC31" s="85">
        <v>50000.0</v>
      </c>
      <c r="AD31" s="189" t="s">
        <v>563</v>
      </c>
      <c r="AE31" s="215"/>
      <c r="AF31" s="92"/>
      <c r="AG31" s="92"/>
    </row>
    <row r="32">
      <c r="A32" s="230">
        <v>30.0</v>
      </c>
      <c r="B32" s="164">
        <v>45917.0</v>
      </c>
      <c r="C32" s="164">
        <v>45919.0</v>
      </c>
      <c r="D32" s="67" t="s">
        <v>54</v>
      </c>
      <c r="E32" s="94" t="s">
        <v>565</v>
      </c>
      <c r="F32" s="86">
        <v>116554.0</v>
      </c>
      <c r="G32" s="71" t="s">
        <v>91</v>
      </c>
      <c r="H32" s="218">
        <v>35.4</v>
      </c>
      <c r="I32" s="96">
        <f t="shared" si="1"/>
        <v>4126011.6</v>
      </c>
      <c r="J32" s="96"/>
      <c r="K32" s="96"/>
      <c r="L32" s="96"/>
      <c r="M32" s="95">
        <f>ROUND(IF(H32&gt;31,31,H32)*52.58552%*F32,-3)</f>
        <v>1900000</v>
      </c>
      <c r="N32" s="185">
        <f t="shared" si="16"/>
        <v>1936011.6</v>
      </c>
      <c r="O32" s="71" t="s">
        <v>91</v>
      </c>
      <c r="P32" s="71" t="s">
        <v>91</v>
      </c>
      <c r="Q32" s="71" t="s">
        <v>91</v>
      </c>
      <c r="R32" s="71" t="s">
        <v>91</v>
      </c>
      <c r="S32" s="71" t="s">
        <v>91</v>
      </c>
      <c r="T32" s="166">
        <v>35000.0</v>
      </c>
      <c r="U32" s="99">
        <f>4*T32</f>
        <v>140000</v>
      </c>
      <c r="V32" s="84" t="s">
        <v>450</v>
      </c>
      <c r="W32" s="85">
        <v>0.0</v>
      </c>
      <c r="X32" s="86" t="s">
        <v>91</v>
      </c>
      <c r="Y32" s="85" t="s">
        <v>91</v>
      </c>
      <c r="Z32" s="86" t="s">
        <v>91</v>
      </c>
      <c r="AA32" s="87">
        <v>100000.0</v>
      </c>
      <c r="AB32" s="143" t="s">
        <v>577</v>
      </c>
      <c r="AC32" s="135">
        <v>50000.0</v>
      </c>
      <c r="AD32" s="189" t="s">
        <v>579</v>
      </c>
      <c r="AE32" s="221" t="s">
        <v>581</v>
      </c>
      <c r="AF32" s="92"/>
      <c r="AG32" s="92"/>
    </row>
    <row r="33">
      <c r="A33" s="183">
        <v>31.0</v>
      </c>
      <c r="B33" s="164">
        <v>45920.0</v>
      </c>
      <c r="C33" s="164">
        <v>45921.0</v>
      </c>
      <c r="D33" s="184" t="s">
        <v>89</v>
      </c>
      <c r="E33" s="154" t="s">
        <v>530</v>
      </c>
      <c r="F33" s="86">
        <v>190080.0</v>
      </c>
      <c r="G33" s="71" t="s">
        <v>91</v>
      </c>
      <c r="H33" s="103">
        <v>33.29</v>
      </c>
      <c r="I33" s="96">
        <f t="shared" si="1"/>
        <v>6327763.2</v>
      </c>
      <c r="J33" s="96">
        <f t="shared" ref="J33:J108" si="19">I33*0.01</f>
        <v>63277.632</v>
      </c>
      <c r="K33" s="96"/>
      <c r="L33" s="96"/>
      <c r="M33" s="228">
        <f t="shared" ref="M33:M34" si="20">ROUND(IF(H33&gt;31,31,H33)*47.5182%*F33,-3)</f>
        <v>2800000</v>
      </c>
      <c r="N33" s="185">
        <f t="shared" ref="N33:N100" si="21">I33-M33-U33-AA33-AC33-W33-J33</f>
        <v>3214485.568</v>
      </c>
      <c r="O33" s="71" t="s">
        <v>91</v>
      </c>
      <c r="P33" s="71" t="s">
        <v>91</v>
      </c>
      <c r="Q33" s="71" t="s">
        <v>91</v>
      </c>
      <c r="R33" s="71" t="s">
        <v>91</v>
      </c>
      <c r="S33" s="71" t="s">
        <v>91</v>
      </c>
      <c r="T33" s="166">
        <v>50000.0</v>
      </c>
      <c r="U33" s="99">
        <f>2*T33</f>
        <v>100000</v>
      </c>
      <c r="V33" s="84" t="s">
        <v>450</v>
      </c>
      <c r="W33" s="85">
        <v>0.0</v>
      </c>
      <c r="X33" s="86" t="s">
        <v>91</v>
      </c>
      <c r="Y33" s="85" t="s">
        <v>91</v>
      </c>
      <c r="Z33" s="86" t="s">
        <v>91</v>
      </c>
      <c r="AA33" s="187">
        <v>100000.0</v>
      </c>
      <c r="AB33" s="143" t="s">
        <v>593</v>
      </c>
      <c r="AC33" s="188">
        <v>50000.0</v>
      </c>
      <c r="AD33" s="189" t="s">
        <v>594</v>
      </c>
      <c r="AE33" s="145" t="s">
        <v>595</v>
      </c>
      <c r="AF33" s="92"/>
      <c r="AG33" s="92"/>
    </row>
    <row r="34">
      <c r="A34" s="183">
        <v>32.0</v>
      </c>
      <c r="B34" s="164">
        <v>45923.0</v>
      </c>
      <c r="C34" s="164">
        <v>45924.0</v>
      </c>
      <c r="D34" s="184" t="s">
        <v>89</v>
      </c>
      <c r="E34" s="154" t="s">
        <v>530</v>
      </c>
      <c r="F34" s="86">
        <v>190080.0</v>
      </c>
      <c r="G34" s="71" t="s">
        <v>91</v>
      </c>
      <c r="H34" s="103">
        <v>32.78</v>
      </c>
      <c r="I34" s="96">
        <f t="shared" si="1"/>
        <v>6230822.4</v>
      </c>
      <c r="J34" s="96">
        <f t="shared" si="19"/>
        <v>62308.224</v>
      </c>
      <c r="K34" s="96"/>
      <c r="L34" s="96"/>
      <c r="M34" s="228">
        <f t="shared" si="20"/>
        <v>2800000</v>
      </c>
      <c r="N34" s="185">
        <f t="shared" si="21"/>
        <v>3168514.176</v>
      </c>
      <c r="O34" s="71" t="s">
        <v>91</v>
      </c>
      <c r="P34" s="71" t="s">
        <v>91</v>
      </c>
      <c r="Q34" s="71" t="s">
        <v>91</v>
      </c>
      <c r="R34" s="71" t="s">
        <v>91</v>
      </c>
      <c r="S34" s="71" t="s">
        <v>91</v>
      </c>
      <c r="T34" s="166">
        <v>50000.0</v>
      </c>
      <c r="U34" s="99">
        <f>1*T34</f>
        <v>50000</v>
      </c>
      <c r="V34" s="84" t="s">
        <v>450</v>
      </c>
      <c r="W34" s="85">
        <v>0.0</v>
      </c>
      <c r="X34" s="86" t="s">
        <v>91</v>
      </c>
      <c r="Y34" s="85" t="s">
        <v>91</v>
      </c>
      <c r="Z34" s="86" t="s">
        <v>91</v>
      </c>
      <c r="AA34" s="187">
        <v>100000.0</v>
      </c>
      <c r="AB34" s="143" t="s">
        <v>607</v>
      </c>
      <c r="AC34" s="188">
        <v>50000.0</v>
      </c>
      <c r="AD34" s="189" t="s">
        <v>609</v>
      </c>
      <c r="AE34" s="145"/>
      <c r="AF34" s="92"/>
      <c r="AG34" s="92"/>
    </row>
    <row r="35">
      <c r="A35" s="183">
        <v>33.0</v>
      </c>
      <c r="B35" s="164">
        <v>45925.0</v>
      </c>
      <c r="C35" s="164">
        <v>45925.0</v>
      </c>
      <c r="D35" s="184" t="s">
        <v>367</v>
      </c>
      <c r="E35" s="154" t="s">
        <v>370</v>
      </c>
      <c r="F35" s="86">
        <v>77899.0</v>
      </c>
      <c r="G35" s="71" t="s">
        <v>91</v>
      </c>
      <c r="H35" s="103">
        <v>34.62</v>
      </c>
      <c r="I35" s="96">
        <f t="shared" si="1"/>
        <v>2696863.38</v>
      </c>
      <c r="J35" s="96">
        <f t="shared" si="19"/>
        <v>26968.6338</v>
      </c>
      <c r="K35" s="96"/>
      <c r="L35" s="96"/>
      <c r="M35" s="228">
        <f>ROUND(IF(H35&gt;31,31,H35)*62.1%*F35,-3)</f>
        <v>1500000</v>
      </c>
      <c r="N35" s="185">
        <f t="shared" si="21"/>
        <v>994894.7462</v>
      </c>
      <c r="O35" s="71" t="s">
        <v>91</v>
      </c>
      <c r="P35" s="71" t="s">
        <v>91</v>
      </c>
      <c r="Q35" s="71" t="s">
        <v>91</v>
      </c>
      <c r="R35" s="71" t="s">
        <v>91</v>
      </c>
      <c r="S35" s="71" t="s">
        <v>91</v>
      </c>
      <c r="T35" s="166">
        <v>25000.0</v>
      </c>
      <c r="U35" s="99">
        <f>3*T35</f>
        <v>75000</v>
      </c>
      <c r="V35" s="84" t="s">
        <v>450</v>
      </c>
      <c r="W35" s="85">
        <v>0.0</v>
      </c>
      <c r="X35" s="86" t="s">
        <v>91</v>
      </c>
      <c r="Y35" s="85" t="s">
        <v>91</v>
      </c>
      <c r="Z35" s="86" t="s">
        <v>91</v>
      </c>
      <c r="AA35" s="187">
        <v>100000.0</v>
      </c>
      <c r="AB35" s="143" t="s">
        <v>622</v>
      </c>
      <c r="AC35" s="188"/>
      <c r="AD35" s="234"/>
      <c r="AE35" s="145" t="s">
        <v>625</v>
      </c>
      <c r="AF35" s="92"/>
      <c r="AG35" s="92"/>
    </row>
    <row r="36">
      <c r="A36" s="214">
        <v>34.0</v>
      </c>
      <c r="B36" s="164">
        <v>45927.0</v>
      </c>
      <c r="C36" s="164">
        <v>45929.0</v>
      </c>
      <c r="D36" s="165" t="s">
        <v>302</v>
      </c>
      <c r="E36" s="165" t="s">
        <v>498</v>
      </c>
      <c r="F36" s="86">
        <v>82906.0</v>
      </c>
      <c r="G36" s="71" t="s">
        <v>91</v>
      </c>
      <c r="H36" s="103">
        <v>32.7</v>
      </c>
      <c r="I36" s="96">
        <f t="shared" si="1"/>
        <v>2711026.2</v>
      </c>
      <c r="J36" s="96">
        <f t="shared" si="19"/>
        <v>27110.262</v>
      </c>
      <c r="K36" s="96"/>
      <c r="L36" s="96"/>
      <c r="M36" s="95">
        <f t="shared" ref="M36:M37" si="22">ROUND(IF(H36&gt;31,31,H36)*48.6365%*F36,-3)</f>
        <v>1250000</v>
      </c>
      <c r="N36" s="185">
        <f t="shared" si="21"/>
        <v>1313915.938</v>
      </c>
      <c r="O36" s="71" t="s">
        <v>91</v>
      </c>
      <c r="P36" s="71" t="s">
        <v>91</v>
      </c>
      <c r="Q36" s="71" t="s">
        <v>91</v>
      </c>
      <c r="R36" s="71" t="s">
        <v>91</v>
      </c>
      <c r="S36" s="71" t="s">
        <v>91</v>
      </c>
      <c r="T36" s="166">
        <v>20000.0</v>
      </c>
      <c r="U36" s="99">
        <f>1*T36</f>
        <v>20000</v>
      </c>
      <c r="V36" s="84" t="s">
        <v>450</v>
      </c>
      <c r="W36" s="85">
        <v>0.0</v>
      </c>
      <c r="X36" s="86" t="s">
        <v>91</v>
      </c>
      <c r="Y36" s="85" t="s">
        <v>91</v>
      </c>
      <c r="Z36" s="86" t="s">
        <v>91</v>
      </c>
      <c r="AA36" s="187">
        <v>100000.0</v>
      </c>
      <c r="AB36" s="143" t="s">
        <v>629</v>
      </c>
      <c r="AC36" s="188"/>
      <c r="AD36" s="235"/>
      <c r="AE36" s="207"/>
      <c r="AF36" s="92"/>
      <c r="AG36" s="92"/>
    </row>
    <row r="37">
      <c r="A37" s="214">
        <v>35.0</v>
      </c>
      <c r="B37" s="164">
        <v>45929.0</v>
      </c>
      <c r="C37" s="164">
        <v>45930.0</v>
      </c>
      <c r="D37" s="165" t="s">
        <v>302</v>
      </c>
      <c r="E37" s="165" t="s">
        <v>630</v>
      </c>
      <c r="F37" s="86">
        <v>82906.0</v>
      </c>
      <c r="G37" s="71" t="s">
        <v>91</v>
      </c>
      <c r="H37" s="103">
        <v>35.72</v>
      </c>
      <c r="I37" s="96">
        <f t="shared" si="1"/>
        <v>2961402.32</v>
      </c>
      <c r="J37" s="96">
        <f t="shared" si="19"/>
        <v>29614.0232</v>
      </c>
      <c r="K37" s="96"/>
      <c r="L37" s="96"/>
      <c r="M37" s="95">
        <f t="shared" si="22"/>
        <v>1250000</v>
      </c>
      <c r="N37" s="185">
        <f t="shared" si="21"/>
        <v>1501788.297</v>
      </c>
      <c r="O37" s="71" t="s">
        <v>91</v>
      </c>
      <c r="P37" s="71" t="s">
        <v>91</v>
      </c>
      <c r="Q37" s="71" t="s">
        <v>91</v>
      </c>
      <c r="R37" s="71" t="s">
        <v>91</v>
      </c>
      <c r="S37" s="71" t="s">
        <v>91</v>
      </c>
      <c r="T37" s="166">
        <v>20000.0</v>
      </c>
      <c r="U37" s="99">
        <f>4*T37</f>
        <v>80000</v>
      </c>
      <c r="V37" s="84" t="s">
        <v>450</v>
      </c>
      <c r="W37" s="85">
        <v>0.0</v>
      </c>
      <c r="X37" s="86" t="s">
        <v>91</v>
      </c>
      <c r="Y37" s="85" t="s">
        <v>91</v>
      </c>
      <c r="Z37" s="86" t="s">
        <v>91</v>
      </c>
      <c r="AA37" s="187">
        <v>100000.0</v>
      </c>
      <c r="AB37" s="143" t="s">
        <v>637</v>
      </c>
      <c r="AC37" s="188"/>
      <c r="AD37" s="235"/>
      <c r="AE37" s="207" t="s">
        <v>639</v>
      </c>
      <c r="AF37" s="92"/>
      <c r="AG37" s="92"/>
    </row>
    <row r="38">
      <c r="A38" s="183">
        <v>36.0</v>
      </c>
      <c r="B38" s="164">
        <v>45931.0</v>
      </c>
      <c r="C38" s="164">
        <v>45933.0</v>
      </c>
      <c r="D38" s="236" t="s">
        <v>89</v>
      </c>
      <c r="E38" s="165" t="s">
        <v>530</v>
      </c>
      <c r="F38" s="86">
        <v>190080.0</v>
      </c>
      <c r="G38" s="71" t="s">
        <v>91</v>
      </c>
      <c r="H38" s="103">
        <v>32.49</v>
      </c>
      <c r="I38" s="96">
        <f t="shared" si="1"/>
        <v>6175699.2</v>
      </c>
      <c r="J38" s="96">
        <f t="shared" si="19"/>
        <v>61756.992</v>
      </c>
      <c r="K38" s="96"/>
      <c r="L38" s="96"/>
      <c r="M38" s="228">
        <f t="shared" ref="M38:M39" si="23">ROUND(IF(H38&gt;31,31,H38)*47.5182%*F38,-3)</f>
        <v>2800000</v>
      </c>
      <c r="N38" s="185">
        <f t="shared" si="21"/>
        <v>3163942.208</v>
      </c>
      <c r="O38" s="71" t="s">
        <v>91</v>
      </c>
      <c r="P38" s="71" t="s">
        <v>91</v>
      </c>
      <c r="Q38" s="71" t="s">
        <v>91</v>
      </c>
      <c r="R38" s="71" t="s">
        <v>91</v>
      </c>
      <c r="S38" s="71" t="s">
        <v>91</v>
      </c>
      <c r="T38" s="166">
        <v>50000.0</v>
      </c>
      <c r="U38" s="99">
        <f>1*T38</f>
        <v>50000</v>
      </c>
      <c r="V38" s="84" t="s">
        <v>450</v>
      </c>
      <c r="W38" s="85">
        <v>0.0</v>
      </c>
      <c r="X38" s="86" t="s">
        <v>91</v>
      </c>
      <c r="Y38" s="85" t="s">
        <v>91</v>
      </c>
      <c r="Z38" s="86" t="s">
        <v>91</v>
      </c>
      <c r="AA38" s="187">
        <v>100000.0</v>
      </c>
      <c r="AB38" s="143" t="s">
        <v>657</v>
      </c>
      <c r="AC38" s="235"/>
      <c r="AD38" s="235"/>
      <c r="AE38" s="221" t="s">
        <v>661</v>
      </c>
      <c r="AF38" s="92"/>
      <c r="AG38" s="92"/>
    </row>
    <row r="39">
      <c r="A39" s="183">
        <v>37.0</v>
      </c>
      <c r="B39" s="164">
        <v>45936.0</v>
      </c>
      <c r="C39" s="164">
        <v>45938.0</v>
      </c>
      <c r="D39" s="236" t="s">
        <v>89</v>
      </c>
      <c r="E39" s="165" t="s">
        <v>530</v>
      </c>
      <c r="F39" s="86">
        <v>190080.0</v>
      </c>
      <c r="G39" s="71" t="s">
        <v>91</v>
      </c>
      <c r="H39" s="103">
        <v>33.13</v>
      </c>
      <c r="I39" s="96">
        <f t="shared" si="1"/>
        <v>6297350.4</v>
      </c>
      <c r="J39" s="96">
        <f t="shared" si="19"/>
        <v>62973.504</v>
      </c>
      <c r="K39" s="96"/>
      <c r="L39" s="96"/>
      <c r="M39" s="228">
        <f t="shared" si="23"/>
        <v>2800000</v>
      </c>
      <c r="N39" s="185">
        <f t="shared" si="21"/>
        <v>3234376.896</v>
      </c>
      <c r="O39" s="71" t="s">
        <v>91</v>
      </c>
      <c r="P39" s="71" t="s">
        <v>91</v>
      </c>
      <c r="Q39" s="71" t="s">
        <v>91</v>
      </c>
      <c r="R39" s="71" t="s">
        <v>91</v>
      </c>
      <c r="S39" s="71" t="s">
        <v>91</v>
      </c>
      <c r="T39" s="166">
        <v>50000.0</v>
      </c>
      <c r="U39" s="99">
        <f t="shared" ref="U39:U41" si="24">2*T39</f>
        <v>100000</v>
      </c>
      <c r="V39" s="84" t="s">
        <v>450</v>
      </c>
      <c r="W39" s="85">
        <v>0.0</v>
      </c>
      <c r="X39" s="86" t="s">
        <v>91</v>
      </c>
      <c r="Y39" s="85" t="s">
        <v>91</v>
      </c>
      <c r="Z39" s="86" t="s">
        <v>91</v>
      </c>
      <c r="AA39" s="187">
        <v>100000.0</v>
      </c>
      <c r="AB39" s="143" t="s">
        <v>677</v>
      </c>
      <c r="AC39" s="235"/>
      <c r="AD39" s="235"/>
      <c r="AE39" s="221" t="s">
        <v>680</v>
      </c>
      <c r="AF39" s="92"/>
      <c r="AG39" s="92"/>
    </row>
    <row r="40">
      <c r="A40" s="183">
        <v>38.0</v>
      </c>
      <c r="B40" s="164">
        <v>45938.0</v>
      </c>
      <c r="C40" s="164">
        <v>45939.0</v>
      </c>
      <c r="D40" s="236" t="s">
        <v>156</v>
      </c>
      <c r="E40" s="165" t="s">
        <v>682</v>
      </c>
      <c r="F40" s="86">
        <v>147316.0</v>
      </c>
      <c r="G40" s="71" t="s">
        <v>91</v>
      </c>
      <c r="H40" s="103">
        <v>33.36</v>
      </c>
      <c r="I40" s="96">
        <f t="shared" si="1"/>
        <v>4914461.76</v>
      </c>
      <c r="J40" s="96">
        <f t="shared" si="19"/>
        <v>49144.6176</v>
      </c>
      <c r="K40" s="96"/>
      <c r="L40" s="96"/>
      <c r="M40" s="228">
        <f>ROUND(IF(H40&gt;31,31,H40)*61.31233%*F40,-3)</f>
        <v>2800000</v>
      </c>
      <c r="N40" s="185">
        <f t="shared" si="21"/>
        <v>1865317.142</v>
      </c>
      <c r="O40" s="71" t="s">
        <v>91</v>
      </c>
      <c r="P40" s="71" t="s">
        <v>91</v>
      </c>
      <c r="Q40" s="71" t="s">
        <v>91</v>
      </c>
      <c r="R40" s="71" t="s">
        <v>91</v>
      </c>
      <c r="S40" s="71" t="s">
        <v>91</v>
      </c>
      <c r="T40" s="166">
        <v>50000.0</v>
      </c>
      <c r="U40" s="99">
        <f t="shared" si="24"/>
        <v>100000</v>
      </c>
      <c r="V40" s="84" t="s">
        <v>450</v>
      </c>
      <c r="W40" s="85">
        <v>0.0</v>
      </c>
      <c r="X40" s="86" t="s">
        <v>91</v>
      </c>
      <c r="Y40" s="85" t="s">
        <v>91</v>
      </c>
      <c r="Z40" s="86" t="s">
        <v>91</v>
      </c>
      <c r="AA40" s="187">
        <v>100000.0</v>
      </c>
      <c r="AB40" s="143" t="s">
        <v>693</v>
      </c>
      <c r="AC40" s="235"/>
      <c r="AD40" s="235"/>
      <c r="AE40" s="207"/>
      <c r="AF40" s="92"/>
      <c r="AG40" s="92"/>
    </row>
    <row r="41">
      <c r="A41" s="183">
        <v>39.0</v>
      </c>
      <c r="B41" s="164">
        <v>45943.0</v>
      </c>
      <c r="C41" s="164">
        <v>45944.0</v>
      </c>
      <c r="D41" s="236" t="s">
        <v>89</v>
      </c>
      <c r="E41" s="165" t="s">
        <v>530</v>
      </c>
      <c r="F41" s="86">
        <v>190080.0</v>
      </c>
      <c r="G41" s="71" t="s">
        <v>91</v>
      </c>
      <c r="H41" s="103">
        <v>33.65</v>
      </c>
      <c r="I41" s="96">
        <f t="shared" si="1"/>
        <v>6396192</v>
      </c>
      <c r="J41" s="96">
        <f t="shared" si="19"/>
        <v>63961.92</v>
      </c>
      <c r="K41" s="96"/>
      <c r="L41" s="96"/>
      <c r="M41" s="228">
        <f>ROUND(IF(H41&gt;31,31,H41)*47.5182%*F41,-3)</f>
        <v>2800000</v>
      </c>
      <c r="N41" s="185">
        <f t="shared" si="21"/>
        <v>3332230.08</v>
      </c>
      <c r="O41" s="71" t="s">
        <v>91</v>
      </c>
      <c r="P41" s="71" t="s">
        <v>91</v>
      </c>
      <c r="Q41" s="71" t="s">
        <v>91</v>
      </c>
      <c r="R41" s="71" t="s">
        <v>91</v>
      </c>
      <c r="S41" s="71" t="s">
        <v>91</v>
      </c>
      <c r="T41" s="166">
        <v>50000.0</v>
      </c>
      <c r="U41" s="99">
        <f t="shared" si="24"/>
        <v>100000</v>
      </c>
      <c r="V41" s="84" t="s">
        <v>450</v>
      </c>
      <c r="W41" s="85">
        <v>0.0</v>
      </c>
      <c r="X41" s="86" t="s">
        <v>91</v>
      </c>
      <c r="Y41" s="85" t="s">
        <v>91</v>
      </c>
      <c r="Z41" s="86" t="s">
        <v>91</v>
      </c>
      <c r="AA41" s="187">
        <v>100000.0</v>
      </c>
      <c r="AB41" s="143" t="s">
        <v>705</v>
      </c>
      <c r="AC41" s="235"/>
      <c r="AD41" s="235"/>
      <c r="AE41" s="221" t="s">
        <v>706</v>
      </c>
      <c r="AF41" s="92"/>
      <c r="AG41" s="92"/>
    </row>
    <row r="42">
      <c r="A42" s="183">
        <v>40.0</v>
      </c>
      <c r="B42" s="164">
        <v>45945.0</v>
      </c>
      <c r="C42" s="164">
        <v>45945.0</v>
      </c>
      <c r="D42" s="236" t="s">
        <v>213</v>
      </c>
      <c r="E42" s="165" t="s">
        <v>710</v>
      </c>
      <c r="F42" s="86">
        <v>101477.0</v>
      </c>
      <c r="G42" s="71" t="s">
        <v>91</v>
      </c>
      <c r="H42" s="258">
        <v>34.56</v>
      </c>
      <c r="I42" s="96">
        <f t="shared" si="1"/>
        <v>3507045.12</v>
      </c>
      <c r="J42" s="96">
        <f t="shared" si="19"/>
        <v>35070.4512</v>
      </c>
      <c r="K42" s="96"/>
      <c r="L42" s="96"/>
      <c r="M42" s="228">
        <f>ROUND(IF(H42&gt;31,31,H42)*54.040622%*F42,-3)</f>
        <v>1700000</v>
      </c>
      <c r="N42" s="185">
        <f t="shared" si="21"/>
        <v>1581974.669</v>
      </c>
      <c r="O42" s="71" t="s">
        <v>91</v>
      </c>
      <c r="P42" s="71" t="s">
        <v>91</v>
      </c>
      <c r="Q42" s="71" t="s">
        <v>91</v>
      </c>
      <c r="R42" s="71" t="s">
        <v>91</v>
      </c>
      <c r="S42" s="71" t="s">
        <v>91</v>
      </c>
      <c r="T42" s="166">
        <v>30000.0</v>
      </c>
      <c r="U42" s="99">
        <f>3*T42</f>
        <v>90000</v>
      </c>
      <c r="V42" s="84" t="s">
        <v>450</v>
      </c>
      <c r="W42" s="85">
        <v>0.0</v>
      </c>
      <c r="X42" s="86" t="s">
        <v>91</v>
      </c>
      <c r="Y42" s="85" t="s">
        <v>91</v>
      </c>
      <c r="Z42" s="86" t="s">
        <v>91</v>
      </c>
      <c r="AA42" s="187">
        <v>100000.0</v>
      </c>
      <c r="AB42" s="143" t="s">
        <v>728</v>
      </c>
      <c r="AC42" s="235"/>
      <c r="AD42" s="235"/>
      <c r="AE42" s="207" t="s">
        <v>730</v>
      </c>
      <c r="AF42" s="92"/>
      <c r="AG42" s="92"/>
    </row>
    <row r="43">
      <c r="A43" s="183">
        <v>41.0</v>
      </c>
      <c r="B43" s="164">
        <v>45946.0</v>
      </c>
      <c r="C43" s="164">
        <v>45946.0</v>
      </c>
      <c r="D43" s="236" t="s">
        <v>346</v>
      </c>
      <c r="E43" s="165" t="s">
        <v>732</v>
      </c>
      <c r="F43" s="86">
        <v>92448.0</v>
      </c>
      <c r="G43" s="71" t="s">
        <v>91</v>
      </c>
      <c r="H43" s="103">
        <v>32.72</v>
      </c>
      <c r="I43" s="96">
        <f t="shared" si="1"/>
        <v>3024898.56</v>
      </c>
      <c r="J43" s="96">
        <f t="shared" si="19"/>
        <v>30248.9856</v>
      </c>
      <c r="K43" s="96"/>
      <c r="L43" s="96"/>
      <c r="M43" s="228">
        <f>ROUND(IF(H43&gt;31,31,H43)*64.55241%*F43,-3)</f>
        <v>1850000</v>
      </c>
      <c r="N43" s="185">
        <f t="shared" si="21"/>
        <v>1014649.574</v>
      </c>
      <c r="O43" s="71" t="s">
        <v>91</v>
      </c>
      <c r="P43" s="71" t="s">
        <v>91</v>
      </c>
      <c r="Q43" s="71" t="s">
        <v>91</v>
      </c>
      <c r="R43" s="71" t="s">
        <v>91</v>
      </c>
      <c r="S43" s="71" t="s">
        <v>91</v>
      </c>
      <c r="T43" s="166">
        <v>30000.0</v>
      </c>
      <c r="U43" s="99">
        <f t="shared" ref="U43:U44" si="25">1*T43</f>
        <v>30000</v>
      </c>
      <c r="V43" s="84" t="s">
        <v>450</v>
      </c>
      <c r="W43" s="85">
        <v>0.0</v>
      </c>
      <c r="X43" s="86" t="s">
        <v>91</v>
      </c>
      <c r="Y43" s="85" t="s">
        <v>91</v>
      </c>
      <c r="Z43" s="86" t="s">
        <v>91</v>
      </c>
      <c r="AA43" s="187">
        <v>100000.0</v>
      </c>
      <c r="AB43" s="143" t="s">
        <v>741</v>
      </c>
      <c r="AC43" s="235"/>
      <c r="AD43" s="235"/>
      <c r="AE43" s="207" t="s">
        <v>742</v>
      </c>
      <c r="AF43" s="92"/>
      <c r="AG43" s="92"/>
    </row>
    <row r="44">
      <c r="A44" s="183">
        <v>42.0</v>
      </c>
      <c r="B44" s="164">
        <v>45948.0</v>
      </c>
      <c r="C44" s="164">
        <v>45951.0</v>
      </c>
      <c r="D44" s="236" t="s">
        <v>89</v>
      </c>
      <c r="E44" s="165" t="s">
        <v>530</v>
      </c>
      <c r="F44" s="86">
        <v>190080.0</v>
      </c>
      <c r="G44" s="71" t="s">
        <v>91</v>
      </c>
      <c r="H44" s="103">
        <v>32.18</v>
      </c>
      <c r="I44" s="96">
        <f t="shared" si="1"/>
        <v>6116774.4</v>
      </c>
      <c r="J44" s="96">
        <f t="shared" si="19"/>
        <v>61167.744</v>
      </c>
      <c r="K44" s="96"/>
      <c r="L44" s="96"/>
      <c r="M44" s="228">
        <f>ROUND(IF(H44&gt;31,31,H44)*47.5182%*F44,-3)</f>
        <v>2800000</v>
      </c>
      <c r="N44" s="185">
        <f t="shared" si="21"/>
        <v>3105606.656</v>
      </c>
      <c r="O44" s="71" t="s">
        <v>91</v>
      </c>
      <c r="P44" s="71" t="s">
        <v>91</v>
      </c>
      <c r="Q44" s="71" t="s">
        <v>91</v>
      </c>
      <c r="R44" s="71" t="s">
        <v>91</v>
      </c>
      <c r="S44" s="71" t="s">
        <v>91</v>
      </c>
      <c r="T44" s="166">
        <v>50000.0</v>
      </c>
      <c r="U44" s="99">
        <f t="shared" si="25"/>
        <v>50000</v>
      </c>
      <c r="V44" s="84" t="s">
        <v>450</v>
      </c>
      <c r="W44" s="85">
        <v>0.0</v>
      </c>
      <c r="X44" s="86" t="s">
        <v>91</v>
      </c>
      <c r="Y44" s="85" t="s">
        <v>91</v>
      </c>
      <c r="Z44" s="86" t="s">
        <v>91</v>
      </c>
      <c r="AA44" s="187">
        <v>100000.0</v>
      </c>
      <c r="AB44" s="143" t="s">
        <v>759</v>
      </c>
      <c r="AC44" s="235"/>
      <c r="AD44" s="235"/>
      <c r="AE44" s="221" t="s">
        <v>760</v>
      </c>
      <c r="AF44" s="92"/>
      <c r="AG44" s="92"/>
    </row>
    <row r="45">
      <c r="A45" s="183">
        <v>43.0</v>
      </c>
      <c r="B45" s="164">
        <v>45953.0</v>
      </c>
      <c r="C45" s="164">
        <v>45954.0</v>
      </c>
      <c r="D45" s="236" t="s">
        <v>764</v>
      </c>
      <c r="E45" s="165" t="s">
        <v>765</v>
      </c>
      <c r="F45" s="262">
        <v>110246.4</v>
      </c>
      <c r="G45" s="71" t="s">
        <v>91</v>
      </c>
      <c r="H45" s="103">
        <v>33.04</v>
      </c>
      <c r="I45" s="96">
        <f t="shared" si="1"/>
        <v>3642541.056</v>
      </c>
      <c r="J45" s="96">
        <f t="shared" si="19"/>
        <v>36425.41056</v>
      </c>
      <c r="K45" s="96"/>
      <c r="L45" s="96"/>
      <c r="M45" s="228">
        <f>ROUND(IF(H45&gt;31,31,H45)*52.6679475%*F45,-3)</f>
        <v>1800000</v>
      </c>
      <c r="N45" s="185">
        <f t="shared" si="21"/>
        <v>1606115.645</v>
      </c>
      <c r="O45" s="71" t="s">
        <v>91</v>
      </c>
      <c r="P45" s="71" t="s">
        <v>91</v>
      </c>
      <c r="Q45" s="71" t="s">
        <v>91</v>
      </c>
      <c r="R45" s="71" t="s">
        <v>91</v>
      </c>
      <c r="S45" s="71" t="s">
        <v>91</v>
      </c>
      <c r="T45" s="166">
        <v>50000.0</v>
      </c>
      <c r="U45" s="99">
        <f t="shared" ref="U45:U47" si="26">2*T45</f>
        <v>100000</v>
      </c>
      <c r="V45" s="84" t="s">
        <v>450</v>
      </c>
      <c r="W45" s="85">
        <v>0.0</v>
      </c>
      <c r="X45" s="86" t="s">
        <v>91</v>
      </c>
      <c r="Y45" s="85" t="s">
        <v>91</v>
      </c>
      <c r="Z45" s="86" t="s">
        <v>91</v>
      </c>
      <c r="AA45" s="187">
        <v>100000.0</v>
      </c>
      <c r="AB45" s="143" t="s">
        <v>773</v>
      </c>
      <c r="AC45" s="235"/>
      <c r="AD45" s="235"/>
      <c r="AE45" s="221" t="s">
        <v>775</v>
      </c>
      <c r="AF45" s="92"/>
      <c r="AG45" s="92"/>
    </row>
    <row r="46">
      <c r="A46" s="214">
        <v>44.0</v>
      </c>
      <c r="B46" s="164">
        <v>45957.0</v>
      </c>
      <c r="C46" s="164">
        <v>45957.0</v>
      </c>
      <c r="D46" s="165" t="s">
        <v>302</v>
      </c>
      <c r="E46" s="165" t="s">
        <v>630</v>
      </c>
      <c r="F46" s="86">
        <v>82906.0</v>
      </c>
      <c r="G46" s="71" t="s">
        <v>91</v>
      </c>
      <c r="H46" s="103">
        <v>33.48</v>
      </c>
      <c r="I46" s="96">
        <f t="shared" si="1"/>
        <v>2775692.88</v>
      </c>
      <c r="J46" s="96">
        <f t="shared" si="19"/>
        <v>27756.9288</v>
      </c>
      <c r="K46" s="96"/>
      <c r="L46" s="96"/>
      <c r="M46" s="95">
        <f>ROUND(IF(H46&gt;31,31,H46)*48.6365%*F46,-3)</f>
        <v>1250000</v>
      </c>
      <c r="N46" s="185">
        <f t="shared" si="21"/>
        <v>1357935.951</v>
      </c>
      <c r="O46" s="71" t="s">
        <v>91</v>
      </c>
      <c r="P46" s="71" t="s">
        <v>91</v>
      </c>
      <c r="Q46" s="71" t="s">
        <v>91</v>
      </c>
      <c r="R46" s="71" t="s">
        <v>91</v>
      </c>
      <c r="S46" s="71" t="s">
        <v>91</v>
      </c>
      <c r="T46" s="166">
        <v>20000.0</v>
      </c>
      <c r="U46" s="99">
        <f t="shared" si="26"/>
        <v>40000</v>
      </c>
      <c r="V46" s="84" t="s">
        <v>450</v>
      </c>
      <c r="W46" s="85">
        <v>0.0</v>
      </c>
      <c r="X46" s="86" t="s">
        <v>91</v>
      </c>
      <c r="Y46" s="85" t="s">
        <v>91</v>
      </c>
      <c r="Z46" s="86" t="s">
        <v>91</v>
      </c>
      <c r="AA46" s="187">
        <v>100000.0</v>
      </c>
      <c r="AB46" s="143" t="s">
        <v>789</v>
      </c>
      <c r="AC46" s="188"/>
      <c r="AD46" s="235"/>
      <c r="AE46" s="207"/>
      <c r="AF46" s="92"/>
      <c r="AG46" s="92"/>
    </row>
    <row r="47">
      <c r="A47" s="183">
        <v>45.0</v>
      </c>
      <c r="B47" s="150">
        <v>45958.0</v>
      </c>
      <c r="C47" s="150">
        <v>45960.0</v>
      </c>
      <c r="D47" s="184" t="s">
        <v>89</v>
      </c>
      <c r="E47" s="154" t="s">
        <v>397</v>
      </c>
      <c r="F47" s="86">
        <v>190080.0</v>
      </c>
      <c r="G47" s="71" t="s">
        <v>91</v>
      </c>
      <c r="H47" s="103">
        <v>32.96</v>
      </c>
      <c r="I47" s="96">
        <f t="shared" si="1"/>
        <v>6265036.8</v>
      </c>
      <c r="J47" s="271">
        <f t="shared" si="19"/>
        <v>62650.368</v>
      </c>
      <c r="K47" s="271"/>
      <c r="L47" s="271"/>
      <c r="M47" s="156">
        <f t="shared" ref="M47:M48" si="27">ROUND(IF(H47&gt;31,31,H47)*47.5182%*F47,-3)</f>
        <v>2800000</v>
      </c>
      <c r="N47" s="185">
        <f t="shared" si="21"/>
        <v>3202386.432</v>
      </c>
      <c r="O47" s="71" t="s">
        <v>91</v>
      </c>
      <c r="P47" s="71" t="s">
        <v>91</v>
      </c>
      <c r="Q47" s="71" t="s">
        <v>91</v>
      </c>
      <c r="R47" s="71" t="s">
        <v>91</v>
      </c>
      <c r="S47" s="71" t="s">
        <v>91</v>
      </c>
      <c r="T47" s="166">
        <v>50000.0</v>
      </c>
      <c r="U47" s="99">
        <f t="shared" si="26"/>
        <v>100000</v>
      </c>
      <c r="V47" s="84" t="s">
        <v>450</v>
      </c>
      <c r="W47" s="186">
        <v>0.0</v>
      </c>
      <c r="X47" s="86" t="s">
        <v>91</v>
      </c>
      <c r="Y47" s="85" t="s">
        <v>91</v>
      </c>
      <c r="Z47" s="86" t="s">
        <v>91</v>
      </c>
      <c r="AA47" s="187">
        <v>100000.0</v>
      </c>
      <c r="AB47" s="143" t="s">
        <v>809</v>
      </c>
      <c r="AC47" s="235"/>
      <c r="AD47" s="235"/>
      <c r="AE47" s="221" t="s">
        <v>811</v>
      </c>
      <c r="AF47" s="92"/>
      <c r="AG47" s="92"/>
    </row>
    <row r="48">
      <c r="A48" s="183">
        <v>46.0</v>
      </c>
      <c r="B48" s="164">
        <v>45961.0</v>
      </c>
      <c r="C48" s="164">
        <v>45962.0</v>
      </c>
      <c r="D48" s="236" t="s">
        <v>89</v>
      </c>
      <c r="E48" s="165" t="s">
        <v>530</v>
      </c>
      <c r="F48" s="86">
        <v>190080.0</v>
      </c>
      <c r="G48" s="71" t="s">
        <v>91</v>
      </c>
      <c r="H48" s="103">
        <v>31.7</v>
      </c>
      <c r="I48" s="96">
        <f t="shared" si="1"/>
        <v>6025536</v>
      </c>
      <c r="J48" s="155">
        <f t="shared" si="19"/>
        <v>60255.36</v>
      </c>
      <c r="K48" s="155"/>
      <c r="L48" s="155"/>
      <c r="M48" s="156">
        <f t="shared" si="27"/>
        <v>2800000</v>
      </c>
      <c r="N48" s="185">
        <f t="shared" si="21"/>
        <v>3015280.64</v>
      </c>
      <c r="O48" s="71" t="s">
        <v>91</v>
      </c>
      <c r="P48" s="71" t="s">
        <v>91</v>
      </c>
      <c r="Q48" s="71" t="s">
        <v>91</v>
      </c>
      <c r="R48" s="71" t="s">
        <v>91</v>
      </c>
      <c r="S48" s="71" t="s">
        <v>91</v>
      </c>
      <c r="T48" s="166">
        <v>50000.0</v>
      </c>
      <c r="U48" s="99">
        <f>1*T48</f>
        <v>50000</v>
      </c>
      <c r="V48" s="84" t="s">
        <v>450</v>
      </c>
      <c r="W48" s="85">
        <v>0.0</v>
      </c>
      <c r="X48" s="86" t="s">
        <v>91</v>
      </c>
      <c r="Y48" s="85" t="s">
        <v>91</v>
      </c>
      <c r="Z48" s="86" t="s">
        <v>91</v>
      </c>
      <c r="AA48" s="187">
        <v>100000.0</v>
      </c>
      <c r="AB48" s="143" t="s">
        <v>832</v>
      </c>
      <c r="AC48" s="235"/>
      <c r="AD48" s="235"/>
      <c r="AE48" s="221" t="s">
        <v>835</v>
      </c>
      <c r="AF48" s="92"/>
      <c r="AG48" s="92"/>
    </row>
    <row r="49">
      <c r="A49" s="183">
        <v>47.0</v>
      </c>
      <c r="B49" s="164">
        <v>45964.0</v>
      </c>
      <c r="C49" s="164">
        <v>45966.0</v>
      </c>
      <c r="D49" s="152" t="s">
        <v>54</v>
      </c>
      <c r="E49" s="154" t="s">
        <v>565</v>
      </c>
      <c r="F49" s="86">
        <v>116554.0</v>
      </c>
      <c r="G49" s="71" t="s">
        <v>91</v>
      </c>
      <c r="H49" s="103">
        <v>31.4</v>
      </c>
      <c r="I49" s="96">
        <f t="shared" si="1"/>
        <v>3659795.6</v>
      </c>
      <c r="J49" s="155">
        <f t="shared" si="19"/>
        <v>36597.956</v>
      </c>
      <c r="K49" s="277"/>
      <c r="L49" s="277"/>
      <c r="M49" s="95">
        <f>ROUND(IF(H49&gt;31,31,H49)*52.58552%*F49,-3)</f>
        <v>1900000</v>
      </c>
      <c r="N49" s="185">
        <f t="shared" si="21"/>
        <v>1623197.644</v>
      </c>
      <c r="O49" s="71" t="s">
        <v>91</v>
      </c>
      <c r="P49" s="71" t="s">
        <v>91</v>
      </c>
      <c r="Q49" s="71" t="s">
        <v>91</v>
      </c>
      <c r="R49" s="71" t="s">
        <v>91</v>
      </c>
      <c r="S49" s="71" t="s">
        <v>91</v>
      </c>
      <c r="T49" s="166">
        <v>35000.0</v>
      </c>
      <c r="U49" s="99">
        <f t="shared" ref="U49:U50" si="28">0*T49</f>
        <v>0</v>
      </c>
      <c r="V49" s="84" t="s">
        <v>450</v>
      </c>
      <c r="W49" s="85">
        <v>0.0</v>
      </c>
      <c r="X49" s="86" t="s">
        <v>91</v>
      </c>
      <c r="Y49" s="85" t="s">
        <v>91</v>
      </c>
      <c r="Z49" s="86" t="s">
        <v>91</v>
      </c>
      <c r="AA49" s="187">
        <v>100000.0</v>
      </c>
      <c r="AB49" s="143" t="s">
        <v>854</v>
      </c>
      <c r="AC49" s="235"/>
      <c r="AD49" s="235"/>
      <c r="AE49" s="282"/>
      <c r="AF49" s="92"/>
      <c r="AG49" s="92"/>
    </row>
    <row r="50">
      <c r="A50" s="183">
        <v>48.0</v>
      </c>
      <c r="B50" s="150">
        <v>45967.0</v>
      </c>
      <c r="C50" s="150">
        <v>45970.0</v>
      </c>
      <c r="D50" s="184" t="s">
        <v>89</v>
      </c>
      <c r="E50" s="154" t="s">
        <v>397</v>
      </c>
      <c r="F50" s="86">
        <v>190080.0</v>
      </c>
      <c r="G50" s="71" t="s">
        <v>91</v>
      </c>
      <c r="H50" s="103">
        <v>31.38</v>
      </c>
      <c r="I50" s="96">
        <f t="shared" si="1"/>
        <v>5964710.4</v>
      </c>
      <c r="J50" s="155">
        <f t="shared" si="19"/>
        <v>59647.104</v>
      </c>
      <c r="K50" s="155"/>
      <c r="L50" s="155"/>
      <c r="M50" s="156">
        <f t="shared" ref="M50:M55" si="29">ROUND(IF(H50&gt;31,31,H50)*47.5182%*F50,-3)</f>
        <v>2800000</v>
      </c>
      <c r="N50" s="185">
        <f t="shared" si="21"/>
        <v>2955063.296</v>
      </c>
      <c r="O50" s="71" t="s">
        <v>91</v>
      </c>
      <c r="P50" s="71" t="s">
        <v>91</v>
      </c>
      <c r="Q50" s="71" t="s">
        <v>91</v>
      </c>
      <c r="R50" s="71" t="s">
        <v>91</v>
      </c>
      <c r="S50" s="71" t="s">
        <v>91</v>
      </c>
      <c r="T50" s="166">
        <v>50000.0</v>
      </c>
      <c r="U50" s="99">
        <f t="shared" si="28"/>
        <v>0</v>
      </c>
      <c r="V50" s="84" t="s">
        <v>450</v>
      </c>
      <c r="W50" s="171">
        <v>50000.0</v>
      </c>
      <c r="X50" s="172" t="s">
        <v>877</v>
      </c>
      <c r="Y50" s="85" t="s">
        <v>91</v>
      </c>
      <c r="Z50" s="86" t="s">
        <v>91</v>
      </c>
      <c r="AA50" s="187">
        <v>100000.0</v>
      </c>
      <c r="AB50" s="143" t="s">
        <v>880</v>
      </c>
      <c r="AC50" s="235"/>
      <c r="AD50" s="235"/>
      <c r="AE50" s="285" t="s">
        <v>882</v>
      </c>
      <c r="AF50" s="92"/>
      <c r="AG50" s="92"/>
    </row>
    <row r="51">
      <c r="A51" s="183">
        <v>49.0</v>
      </c>
      <c r="B51" s="150">
        <v>45972.0</v>
      </c>
      <c r="C51" s="150">
        <v>45974.0</v>
      </c>
      <c r="D51" s="184" t="s">
        <v>89</v>
      </c>
      <c r="E51" s="154" t="s">
        <v>397</v>
      </c>
      <c r="F51" s="86">
        <v>190080.0</v>
      </c>
      <c r="G51" s="71" t="s">
        <v>91</v>
      </c>
      <c r="H51" s="103">
        <v>33.3</v>
      </c>
      <c r="I51" s="96">
        <f t="shared" si="1"/>
        <v>6329664</v>
      </c>
      <c r="J51" s="155">
        <f t="shared" si="19"/>
        <v>63296.64</v>
      </c>
      <c r="K51" s="155"/>
      <c r="L51" s="155"/>
      <c r="M51" s="156">
        <f t="shared" si="29"/>
        <v>2800000</v>
      </c>
      <c r="N51" s="185">
        <f t="shared" si="21"/>
        <v>3266367.36</v>
      </c>
      <c r="O51" s="71" t="s">
        <v>91</v>
      </c>
      <c r="P51" s="71" t="s">
        <v>91</v>
      </c>
      <c r="Q51" s="71" t="s">
        <v>91</v>
      </c>
      <c r="R51" s="71" t="s">
        <v>91</v>
      </c>
      <c r="S51" s="71" t="s">
        <v>91</v>
      </c>
      <c r="T51" s="166">
        <v>50000.0</v>
      </c>
      <c r="U51" s="99">
        <f>2*T51</f>
        <v>100000</v>
      </c>
      <c r="V51" s="84" t="s">
        <v>450</v>
      </c>
      <c r="W51" s="85">
        <v>0.0</v>
      </c>
      <c r="X51" s="86" t="s">
        <v>91</v>
      </c>
      <c r="Y51" s="85" t="s">
        <v>91</v>
      </c>
      <c r="Z51" s="86" t="s">
        <v>91</v>
      </c>
      <c r="AA51" s="187">
        <v>100000.0</v>
      </c>
      <c r="AB51" s="143" t="s">
        <v>896</v>
      </c>
      <c r="AC51" s="235"/>
      <c r="AD51" s="235"/>
      <c r="AE51" s="145" t="s">
        <v>899</v>
      </c>
      <c r="AF51" s="92"/>
      <c r="AG51" s="92"/>
    </row>
    <row r="52">
      <c r="A52" s="183">
        <v>50.0</v>
      </c>
      <c r="B52" s="164">
        <v>45975.0</v>
      </c>
      <c r="C52" s="164">
        <v>45978.0</v>
      </c>
      <c r="D52" s="236" t="s">
        <v>89</v>
      </c>
      <c r="E52" s="165" t="s">
        <v>530</v>
      </c>
      <c r="F52" s="86">
        <v>190080.0</v>
      </c>
      <c r="G52" s="71" t="s">
        <v>91</v>
      </c>
      <c r="H52" s="103">
        <v>34.73</v>
      </c>
      <c r="I52" s="96">
        <f t="shared" si="1"/>
        <v>6601478.4</v>
      </c>
      <c r="J52" s="155">
        <f t="shared" si="19"/>
        <v>66014.784</v>
      </c>
      <c r="K52" s="155"/>
      <c r="L52" s="155"/>
      <c r="M52" s="156">
        <f t="shared" si="29"/>
        <v>2800000</v>
      </c>
      <c r="N52" s="185">
        <f t="shared" si="21"/>
        <v>3435463.616</v>
      </c>
      <c r="O52" s="71" t="s">
        <v>91</v>
      </c>
      <c r="P52" s="71" t="s">
        <v>91</v>
      </c>
      <c r="Q52" s="71" t="s">
        <v>91</v>
      </c>
      <c r="R52" s="71" t="s">
        <v>91</v>
      </c>
      <c r="S52" s="71" t="s">
        <v>91</v>
      </c>
      <c r="T52" s="166">
        <v>50000.0</v>
      </c>
      <c r="U52" s="99">
        <f t="shared" ref="U52:U53" si="30">3*T52</f>
        <v>150000</v>
      </c>
      <c r="V52" s="84" t="s">
        <v>450</v>
      </c>
      <c r="W52" s="171">
        <v>50000.0</v>
      </c>
      <c r="X52" s="172" t="s">
        <v>909</v>
      </c>
      <c r="Y52" s="85" t="s">
        <v>91</v>
      </c>
      <c r="Z52" s="86" t="s">
        <v>91</v>
      </c>
      <c r="AA52" s="187">
        <v>100000.0</v>
      </c>
      <c r="AB52" s="143" t="s">
        <v>912</v>
      </c>
      <c r="AC52" s="235"/>
      <c r="AD52" s="235"/>
      <c r="AE52" s="207" t="s">
        <v>915</v>
      </c>
      <c r="AF52" s="92"/>
      <c r="AG52" s="92"/>
    </row>
    <row r="53">
      <c r="A53" s="183">
        <v>51.0</v>
      </c>
      <c r="B53" s="164">
        <v>45979.0</v>
      </c>
      <c r="C53" s="164">
        <v>45980.0</v>
      </c>
      <c r="D53" s="236" t="s">
        <v>89</v>
      </c>
      <c r="E53" s="154" t="s">
        <v>397</v>
      </c>
      <c r="F53" s="86">
        <v>190080.0</v>
      </c>
      <c r="G53" s="71" t="s">
        <v>91</v>
      </c>
      <c r="H53" s="103">
        <v>34.3</v>
      </c>
      <c r="I53" s="96">
        <f t="shared" si="1"/>
        <v>6519744</v>
      </c>
      <c r="J53" s="155">
        <f t="shared" si="19"/>
        <v>65197.44</v>
      </c>
      <c r="K53" s="155"/>
      <c r="L53" s="155"/>
      <c r="M53" s="156">
        <f t="shared" si="29"/>
        <v>2800000</v>
      </c>
      <c r="N53" s="185">
        <f t="shared" si="21"/>
        <v>3404546.56</v>
      </c>
      <c r="O53" s="71" t="s">
        <v>91</v>
      </c>
      <c r="P53" s="71" t="s">
        <v>91</v>
      </c>
      <c r="Q53" s="71" t="s">
        <v>91</v>
      </c>
      <c r="R53" s="71" t="s">
        <v>91</v>
      </c>
      <c r="S53" s="71" t="s">
        <v>91</v>
      </c>
      <c r="T53" s="166">
        <v>50000.0</v>
      </c>
      <c r="U53" s="99">
        <f t="shared" si="30"/>
        <v>150000</v>
      </c>
      <c r="V53" s="84" t="s">
        <v>450</v>
      </c>
      <c r="W53" s="85">
        <v>0.0</v>
      </c>
      <c r="X53" s="86" t="s">
        <v>91</v>
      </c>
      <c r="Y53" s="85" t="s">
        <v>91</v>
      </c>
      <c r="Z53" s="86" t="s">
        <v>91</v>
      </c>
      <c r="AA53" s="187">
        <v>100000.0</v>
      </c>
      <c r="AB53" s="136" t="s">
        <v>931</v>
      </c>
      <c r="AC53" s="235"/>
      <c r="AD53" s="235"/>
      <c r="AE53" s="285" t="s">
        <v>932</v>
      </c>
      <c r="AF53" s="92"/>
      <c r="AG53" s="92"/>
    </row>
    <row r="54">
      <c r="A54" s="183">
        <v>52.0</v>
      </c>
      <c r="B54" s="164">
        <v>45982.0</v>
      </c>
      <c r="C54" s="164">
        <v>45984.0</v>
      </c>
      <c r="D54" s="236" t="s">
        <v>89</v>
      </c>
      <c r="E54" s="154" t="s">
        <v>397</v>
      </c>
      <c r="F54" s="86">
        <v>190080.0</v>
      </c>
      <c r="G54" s="71" t="s">
        <v>91</v>
      </c>
      <c r="H54" s="103">
        <v>32.48</v>
      </c>
      <c r="I54" s="287">
        <f t="shared" si="1"/>
        <v>6173798.4</v>
      </c>
      <c r="J54" s="79">
        <f t="shared" si="19"/>
        <v>61737.984</v>
      </c>
      <c r="K54" s="79"/>
      <c r="L54" s="79"/>
      <c r="M54" s="81">
        <f t="shared" si="29"/>
        <v>2800000</v>
      </c>
      <c r="N54" s="185">
        <f t="shared" si="21"/>
        <v>3112060.416</v>
      </c>
      <c r="O54" s="71" t="s">
        <v>91</v>
      </c>
      <c r="P54" s="71" t="s">
        <v>91</v>
      </c>
      <c r="Q54" s="71" t="s">
        <v>91</v>
      </c>
      <c r="R54" s="71" t="s">
        <v>91</v>
      </c>
      <c r="S54" s="71" t="s">
        <v>91</v>
      </c>
      <c r="T54" s="166">
        <v>50000.0</v>
      </c>
      <c r="U54" s="99">
        <f>1*T54</f>
        <v>50000</v>
      </c>
      <c r="V54" s="84" t="s">
        <v>450</v>
      </c>
      <c r="W54" s="171">
        <v>50000.0</v>
      </c>
      <c r="X54" s="172" t="s">
        <v>946</v>
      </c>
      <c r="Y54" s="85" t="s">
        <v>91</v>
      </c>
      <c r="Z54" s="86" t="s">
        <v>91</v>
      </c>
      <c r="AA54" s="187">
        <v>100000.0</v>
      </c>
      <c r="AB54" s="136" t="s">
        <v>947</v>
      </c>
      <c r="AC54" s="235"/>
      <c r="AD54" s="235"/>
      <c r="AE54" s="221" t="s">
        <v>949</v>
      </c>
      <c r="AF54" s="92"/>
      <c r="AG54" s="92"/>
    </row>
    <row r="55">
      <c r="A55" s="183">
        <v>53.0</v>
      </c>
      <c r="B55" s="164">
        <v>45985.0</v>
      </c>
      <c r="C55" s="164">
        <v>45990.0</v>
      </c>
      <c r="D55" s="236" t="s">
        <v>89</v>
      </c>
      <c r="E55" s="154" t="s">
        <v>397</v>
      </c>
      <c r="F55" s="86">
        <v>190080.0</v>
      </c>
      <c r="G55" s="71" t="s">
        <v>91</v>
      </c>
      <c r="H55" s="103">
        <v>34.52</v>
      </c>
      <c r="I55" s="287">
        <f t="shared" si="1"/>
        <v>6561561.6</v>
      </c>
      <c r="J55" s="79">
        <f t="shared" si="19"/>
        <v>65615.616</v>
      </c>
      <c r="K55" s="79"/>
      <c r="L55" s="79"/>
      <c r="M55" s="81">
        <f t="shared" si="29"/>
        <v>2800000</v>
      </c>
      <c r="N55" s="185">
        <f t="shared" si="21"/>
        <v>3295945.984</v>
      </c>
      <c r="O55" s="71" t="s">
        <v>91</v>
      </c>
      <c r="P55" s="71" t="s">
        <v>91</v>
      </c>
      <c r="Q55" s="71" t="s">
        <v>91</v>
      </c>
      <c r="R55" s="71" t="s">
        <v>91</v>
      </c>
      <c r="S55" s="71" t="s">
        <v>91</v>
      </c>
      <c r="T55" s="166">
        <v>50000.0</v>
      </c>
      <c r="U55" s="99">
        <f>3*T55</f>
        <v>150000</v>
      </c>
      <c r="V55" s="84" t="s">
        <v>450</v>
      </c>
      <c r="W55" s="85">
        <v>150000.0</v>
      </c>
      <c r="X55" s="84" t="s">
        <v>953</v>
      </c>
      <c r="Y55" s="85" t="s">
        <v>91</v>
      </c>
      <c r="Z55" s="86" t="s">
        <v>91</v>
      </c>
      <c r="AA55" s="187">
        <v>100000.0</v>
      </c>
      <c r="AB55" s="136" t="s">
        <v>955</v>
      </c>
      <c r="AC55" s="235"/>
      <c r="AD55" s="235"/>
      <c r="AE55" s="207" t="s">
        <v>956</v>
      </c>
      <c r="AF55" s="92"/>
      <c r="AG55" s="92"/>
    </row>
    <row r="56">
      <c r="A56" s="183">
        <v>54.0</v>
      </c>
      <c r="B56" s="164">
        <v>45992.0</v>
      </c>
      <c r="C56" s="164">
        <v>45993.0</v>
      </c>
      <c r="D56" s="152" t="s">
        <v>54</v>
      </c>
      <c r="E56" s="106" t="s">
        <v>77</v>
      </c>
      <c r="F56" s="86">
        <v>116554.0</v>
      </c>
      <c r="G56" s="71" t="s">
        <v>91</v>
      </c>
      <c r="H56" s="103">
        <v>36.68</v>
      </c>
      <c r="I56" s="287">
        <f t="shared" si="1"/>
        <v>4275200.72</v>
      </c>
      <c r="J56" s="79">
        <f t="shared" si="19"/>
        <v>42752.0072</v>
      </c>
      <c r="K56" s="79"/>
      <c r="L56" s="79"/>
      <c r="M56" s="81">
        <f>ROUND(IF(H56&gt;31,31,H56)*52.58552%*F56,-3)</f>
        <v>1900000</v>
      </c>
      <c r="N56" s="185">
        <f t="shared" si="21"/>
        <v>2057448.713</v>
      </c>
      <c r="O56" s="71" t="s">
        <v>91</v>
      </c>
      <c r="P56" s="71" t="s">
        <v>91</v>
      </c>
      <c r="Q56" s="71" t="s">
        <v>91</v>
      </c>
      <c r="R56" s="71" t="s">
        <v>91</v>
      </c>
      <c r="S56" s="71" t="s">
        <v>91</v>
      </c>
      <c r="T56" s="166">
        <v>35000.0</v>
      </c>
      <c r="U56" s="99">
        <f>5*T56</f>
        <v>175000</v>
      </c>
      <c r="V56" s="84" t="s">
        <v>450</v>
      </c>
      <c r="W56" s="85">
        <v>0.0</v>
      </c>
      <c r="X56" s="86" t="s">
        <v>91</v>
      </c>
      <c r="Y56" s="85" t="s">
        <v>91</v>
      </c>
      <c r="Z56" s="86" t="s">
        <v>91</v>
      </c>
      <c r="AA56" s="187">
        <v>100000.0</v>
      </c>
      <c r="AB56" s="136" t="s">
        <v>972</v>
      </c>
      <c r="AC56" s="235"/>
      <c r="AD56" s="235"/>
      <c r="AE56" s="282"/>
      <c r="AF56" s="92"/>
      <c r="AG56" s="92"/>
    </row>
    <row r="57">
      <c r="A57" s="183">
        <v>55.0</v>
      </c>
      <c r="B57" s="164">
        <v>45995.0</v>
      </c>
      <c r="C57" s="164">
        <v>45997.0</v>
      </c>
      <c r="D57" s="236" t="s">
        <v>89</v>
      </c>
      <c r="E57" s="154" t="s">
        <v>397</v>
      </c>
      <c r="F57" s="86">
        <v>190080.0</v>
      </c>
      <c r="G57" s="71" t="s">
        <v>91</v>
      </c>
      <c r="H57" s="103">
        <v>32.6</v>
      </c>
      <c r="I57" s="287">
        <f t="shared" si="1"/>
        <v>6196608</v>
      </c>
      <c r="J57" s="79">
        <f t="shared" si="19"/>
        <v>61966.08</v>
      </c>
      <c r="K57" s="79"/>
      <c r="L57" s="79"/>
      <c r="M57" s="81">
        <f t="shared" ref="M57:M58" si="31">ROUND(IF(H57&gt;31,31,H57)*47.5182%*F57,-3)</f>
        <v>2800000</v>
      </c>
      <c r="N57" s="185">
        <f t="shared" si="21"/>
        <v>3134641.92</v>
      </c>
      <c r="O57" s="71" t="s">
        <v>91</v>
      </c>
      <c r="P57" s="71" t="s">
        <v>91</v>
      </c>
      <c r="Q57" s="71" t="s">
        <v>91</v>
      </c>
      <c r="R57" s="71" t="s">
        <v>91</v>
      </c>
      <c r="S57" s="71" t="s">
        <v>91</v>
      </c>
      <c r="T57" s="166">
        <v>50000.0</v>
      </c>
      <c r="U57" s="99">
        <f>1*T57</f>
        <v>50000</v>
      </c>
      <c r="V57" s="84" t="s">
        <v>450</v>
      </c>
      <c r="W57" s="171">
        <v>50000.0</v>
      </c>
      <c r="X57" s="84" t="s">
        <v>983</v>
      </c>
      <c r="Y57" s="85" t="s">
        <v>91</v>
      </c>
      <c r="Z57" s="86" t="s">
        <v>91</v>
      </c>
      <c r="AA57" s="187">
        <v>100000.0</v>
      </c>
      <c r="AB57" s="136" t="s">
        <v>985</v>
      </c>
      <c r="AC57" s="235"/>
      <c r="AD57" s="235"/>
      <c r="AE57" s="221" t="s">
        <v>987</v>
      </c>
      <c r="AF57" s="92"/>
      <c r="AG57" s="92"/>
    </row>
    <row r="58">
      <c r="A58" s="183">
        <v>56.0</v>
      </c>
      <c r="B58" s="164">
        <v>45999.0</v>
      </c>
      <c r="C58" s="164">
        <v>46000.0</v>
      </c>
      <c r="D58" s="236" t="s">
        <v>89</v>
      </c>
      <c r="E58" s="165" t="s">
        <v>530</v>
      </c>
      <c r="F58" s="86">
        <v>190080.0</v>
      </c>
      <c r="G58" s="71" t="s">
        <v>91</v>
      </c>
      <c r="H58" s="103">
        <v>33.04</v>
      </c>
      <c r="I58" s="287">
        <f t="shared" si="1"/>
        <v>6280243.2</v>
      </c>
      <c r="J58" s="79">
        <f t="shared" si="19"/>
        <v>62802.432</v>
      </c>
      <c r="K58" s="79"/>
      <c r="L58" s="79"/>
      <c r="M58" s="81">
        <f t="shared" si="31"/>
        <v>2800000</v>
      </c>
      <c r="N58" s="185">
        <f t="shared" si="21"/>
        <v>3217440.768</v>
      </c>
      <c r="O58" s="71" t="s">
        <v>91</v>
      </c>
      <c r="P58" s="71" t="s">
        <v>91</v>
      </c>
      <c r="Q58" s="71" t="s">
        <v>91</v>
      </c>
      <c r="R58" s="71" t="s">
        <v>91</v>
      </c>
      <c r="S58" s="71" t="s">
        <v>91</v>
      </c>
      <c r="T58" s="166">
        <v>50000.0</v>
      </c>
      <c r="U58" s="99">
        <f>2*T58</f>
        <v>100000</v>
      </c>
      <c r="V58" s="84" t="s">
        <v>450</v>
      </c>
      <c r="W58" s="85">
        <v>0.0</v>
      </c>
      <c r="X58" s="86" t="s">
        <v>91</v>
      </c>
      <c r="Y58" s="85" t="s">
        <v>91</v>
      </c>
      <c r="Z58" s="86" t="s">
        <v>91</v>
      </c>
      <c r="AA58" s="187">
        <v>100000.0</v>
      </c>
      <c r="AB58" s="136" t="s">
        <v>1001</v>
      </c>
      <c r="AC58" s="235"/>
      <c r="AD58" s="235"/>
      <c r="AE58" s="221" t="s">
        <v>1003</v>
      </c>
      <c r="AF58" s="92"/>
      <c r="AG58" s="92"/>
    </row>
    <row r="59">
      <c r="A59" s="183">
        <v>57.0</v>
      </c>
      <c r="B59" s="164">
        <v>46001.0</v>
      </c>
      <c r="C59" s="164">
        <v>46001.0</v>
      </c>
      <c r="D59" s="152" t="s">
        <v>54</v>
      </c>
      <c r="E59" s="106" t="s">
        <v>77</v>
      </c>
      <c r="F59" s="86">
        <v>116554.0</v>
      </c>
      <c r="G59" s="71" t="s">
        <v>91</v>
      </c>
      <c r="H59" s="103">
        <v>35.1</v>
      </c>
      <c r="I59" s="287">
        <f t="shared" si="1"/>
        <v>4091045.4</v>
      </c>
      <c r="J59" s="79">
        <f t="shared" si="19"/>
        <v>40910.454</v>
      </c>
      <c r="K59" s="79"/>
      <c r="L59" s="79"/>
      <c r="M59" s="81">
        <f t="shared" ref="M59:M62" si="32">ROUND(IF(H59&gt;31,31,H59)*52.58552%*F59,-3)</f>
        <v>1900000</v>
      </c>
      <c r="N59" s="185">
        <f t="shared" si="21"/>
        <v>1910134.946</v>
      </c>
      <c r="O59" s="71" t="s">
        <v>91</v>
      </c>
      <c r="P59" s="71" t="s">
        <v>91</v>
      </c>
      <c r="Q59" s="71" t="s">
        <v>91</v>
      </c>
      <c r="R59" s="71" t="s">
        <v>91</v>
      </c>
      <c r="S59" s="71" t="s">
        <v>91</v>
      </c>
      <c r="T59" s="166">
        <v>35000.0</v>
      </c>
      <c r="U59" s="99">
        <f>4*T59</f>
        <v>140000</v>
      </c>
      <c r="V59" s="84" t="s">
        <v>450</v>
      </c>
      <c r="W59" s="85">
        <v>0.0</v>
      </c>
      <c r="X59" s="86" t="s">
        <v>91</v>
      </c>
      <c r="Y59" s="85" t="s">
        <v>91</v>
      </c>
      <c r="Z59" s="86" t="s">
        <v>91</v>
      </c>
      <c r="AA59" s="187">
        <v>100000.0</v>
      </c>
      <c r="AB59" s="136" t="s">
        <v>1015</v>
      </c>
      <c r="AC59" s="235"/>
      <c r="AD59" s="235"/>
      <c r="AE59" s="282"/>
      <c r="AF59" s="92"/>
      <c r="AG59" s="92"/>
    </row>
    <row r="60">
      <c r="A60" s="183">
        <v>58.0</v>
      </c>
      <c r="B60" s="164">
        <v>46002.0</v>
      </c>
      <c r="C60" s="164">
        <v>46004.0</v>
      </c>
      <c r="D60" s="152" t="s">
        <v>54</v>
      </c>
      <c r="E60" s="106" t="s">
        <v>77</v>
      </c>
      <c r="F60" s="86">
        <v>116554.0</v>
      </c>
      <c r="G60" s="71" t="s">
        <v>91</v>
      </c>
      <c r="H60" s="103">
        <v>32.6</v>
      </c>
      <c r="I60" s="287">
        <f t="shared" si="1"/>
        <v>3799660.4</v>
      </c>
      <c r="J60" s="79">
        <f t="shared" si="19"/>
        <v>37996.604</v>
      </c>
      <c r="K60" s="79"/>
      <c r="L60" s="79"/>
      <c r="M60" s="81">
        <f t="shared" si="32"/>
        <v>1900000</v>
      </c>
      <c r="N60" s="185">
        <f t="shared" si="21"/>
        <v>1726663.796</v>
      </c>
      <c r="O60" s="71" t="s">
        <v>91</v>
      </c>
      <c r="P60" s="71" t="s">
        <v>91</v>
      </c>
      <c r="Q60" s="71" t="s">
        <v>91</v>
      </c>
      <c r="R60" s="71" t="s">
        <v>91</v>
      </c>
      <c r="S60" s="71" t="s">
        <v>91</v>
      </c>
      <c r="T60" s="166">
        <v>35000.0</v>
      </c>
      <c r="U60" s="99">
        <f>1*T60</f>
        <v>35000</v>
      </c>
      <c r="V60" s="84" t="s">
        <v>450</v>
      </c>
      <c r="W60" s="85">
        <v>0.0</v>
      </c>
      <c r="X60" s="86" t="s">
        <v>91</v>
      </c>
      <c r="Y60" s="85" t="s">
        <v>91</v>
      </c>
      <c r="Z60" s="86" t="s">
        <v>91</v>
      </c>
      <c r="AA60" s="187">
        <v>100000.0</v>
      </c>
      <c r="AB60" s="136" t="s">
        <v>1030</v>
      </c>
      <c r="AC60" s="235"/>
      <c r="AD60" s="235"/>
      <c r="AE60" s="145" t="s">
        <v>1031</v>
      </c>
      <c r="AF60" s="92"/>
      <c r="AG60" s="92"/>
    </row>
    <row r="61">
      <c r="A61" s="183">
        <v>59.0</v>
      </c>
      <c r="B61" s="164">
        <v>46004.0</v>
      </c>
      <c r="C61" s="164">
        <v>46006.0</v>
      </c>
      <c r="D61" s="152" t="s">
        <v>54</v>
      </c>
      <c r="E61" s="106" t="s">
        <v>77</v>
      </c>
      <c r="F61" s="86">
        <v>116554.0</v>
      </c>
      <c r="G61" s="71" t="s">
        <v>91</v>
      </c>
      <c r="H61" s="103">
        <v>33.8</v>
      </c>
      <c r="I61" s="287">
        <f t="shared" si="1"/>
        <v>3939525.2</v>
      </c>
      <c r="J61" s="79">
        <f t="shared" si="19"/>
        <v>39395.252</v>
      </c>
      <c r="K61" s="79"/>
      <c r="L61" s="79"/>
      <c r="M61" s="81">
        <f t="shared" si="32"/>
        <v>1900000</v>
      </c>
      <c r="N61" s="185">
        <f t="shared" si="21"/>
        <v>1830129.948</v>
      </c>
      <c r="O61" s="71" t="s">
        <v>91</v>
      </c>
      <c r="P61" s="71" t="s">
        <v>91</v>
      </c>
      <c r="Q61" s="71" t="s">
        <v>91</v>
      </c>
      <c r="R61" s="71" t="s">
        <v>91</v>
      </c>
      <c r="S61" s="71" t="s">
        <v>91</v>
      </c>
      <c r="T61" s="166">
        <v>35000.0</v>
      </c>
      <c r="U61" s="99">
        <f>2*T61</f>
        <v>70000</v>
      </c>
      <c r="V61" s="84" t="s">
        <v>450</v>
      </c>
      <c r="W61" s="85">
        <v>0.0</v>
      </c>
      <c r="X61" s="86" t="s">
        <v>91</v>
      </c>
      <c r="Y61" s="85" t="s">
        <v>91</v>
      </c>
      <c r="Z61" s="86" t="s">
        <v>91</v>
      </c>
      <c r="AA61" s="187">
        <v>100000.0</v>
      </c>
      <c r="AB61" s="136" t="s">
        <v>1042</v>
      </c>
      <c r="AC61" s="235"/>
      <c r="AD61" s="235"/>
      <c r="AE61" s="282"/>
      <c r="AF61" s="92"/>
      <c r="AG61" s="92"/>
    </row>
    <row r="62">
      <c r="A62" s="183">
        <v>60.0</v>
      </c>
      <c r="B62" s="164">
        <v>46008.0</v>
      </c>
      <c r="C62" s="164">
        <v>46009.0</v>
      </c>
      <c r="D62" s="152" t="s">
        <v>54</v>
      </c>
      <c r="E62" s="106" t="s">
        <v>77</v>
      </c>
      <c r="F62" s="86">
        <v>116554.0</v>
      </c>
      <c r="G62" s="71" t="s">
        <v>91</v>
      </c>
      <c r="H62" s="103">
        <v>36.72</v>
      </c>
      <c r="I62" s="287">
        <f t="shared" si="1"/>
        <v>4279862.88</v>
      </c>
      <c r="J62" s="79">
        <f t="shared" si="19"/>
        <v>42798.6288</v>
      </c>
      <c r="K62" s="79"/>
      <c r="L62" s="79"/>
      <c r="M62" s="81">
        <f t="shared" si="32"/>
        <v>1900000</v>
      </c>
      <c r="N62" s="185">
        <f t="shared" si="21"/>
        <v>2062064.251</v>
      </c>
      <c r="O62" s="71" t="s">
        <v>91</v>
      </c>
      <c r="P62" s="71" t="s">
        <v>91</v>
      </c>
      <c r="Q62" s="71" t="s">
        <v>91</v>
      </c>
      <c r="R62" s="71"/>
      <c r="S62" s="71" t="s">
        <v>91</v>
      </c>
      <c r="T62" s="166">
        <v>35000.0</v>
      </c>
      <c r="U62" s="99">
        <f>5*T62</f>
        <v>175000</v>
      </c>
      <c r="V62" s="84" t="s">
        <v>450</v>
      </c>
      <c r="W62" s="85">
        <v>0.0</v>
      </c>
      <c r="X62" s="86" t="s">
        <v>91</v>
      </c>
      <c r="Y62" s="85" t="s">
        <v>91</v>
      </c>
      <c r="Z62" s="86" t="s">
        <v>91</v>
      </c>
      <c r="AA62" s="187">
        <v>100000.0</v>
      </c>
      <c r="AB62" s="136" t="s">
        <v>1055</v>
      </c>
      <c r="AC62" s="235"/>
      <c r="AD62" s="235"/>
      <c r="AE62" s="145" t="s">
        <v>1058</v>
      </c>
      <c r="AF62" s="92"/>
      <c r="AG62" s="92"/>
    </row>
    <row r="63">
      <c r="A63" s="183">
        <v>61.0</v>
      </c>
      <c r="B63" s="164">
        <v>46013.0</v>
      </c>
      <c r="C63" s="164">
        <v>46015.0</v>
      </c>
      <c r="D63" s="236" t="s">
        <v>89</v>
      </c>
      <c r="E63" s="154" t="s">
        <v>397</v>
      </c>
      <c r="F63" s="86">
        <v>190080.0</v>
      </c>
      <c r="G63" s="71" t="s">
        <v>91</v>
      </c>
      <c r="H63" s="103">
        <v>34.17</v>
      </c>
      <c r="I63" s="287">
        <f t="shared" si="1"/>
        <v>6495033.6</v>
      </c>
      <c r="J63" s="79">
        <f t="shared" si="19"/>
        <v>64950.336</v>
      </c>
      <c r="K63" s="79"/>
      <c r="L63" s="79"/>
      <c r="M63" s="81">
        <f>ROUND(IF(H63&gt;31,31,H63)*47.5182%*F63,-3)</f>
        <v>2800000</v>
      </c>
      <c r="N63" s="185">
        <f t="shared" si="21"/>
        <v>3330083.264</v>
      </c>
      <c r="O63" s="71" t="s">
        <v>91</v>
      </c>
      <c r="P63" s="71" t="s">
        <v>91</v>
      </c>
      <c r="Q63" s="71" t="s">
        <v>91</v>
      </c>
      <c r="R63" s="71" t="s">
        <v>91</v>
      </c>
      <c r="S63" s="71" t="s">
        <v>91</v>
      </c>
      <c r="T63" s="166">
        <v>50000.0</v>
      </c>
      <c r="U63" s="99">
        <f t="shared" ref="U63:U64" si="33">3*T63</f>
        <v>150000</v>
      </c>
      <c r="V63" s="84" t="s">
        <v>450</v>
      </c>
      <c r="W63" s="171">
        <v>50000.0</v>
      </c>
      <c r="X63" s="84" t="s">
        <v>1071</v>
      </c>
      <c r="Y63" s="85" t="s">
        <v>91</v>
      </c>
      <c r="Z63" s="86" t="s">
        <v>91</v>
      </c>
      <c r="AA63" s="187">
        <v>100000.0</v>
      </c>
      <c r="AB63" s="136" t="s">
        <v>1074</v>
      </c>
      <c r="AC63" s="235"/>
      <c r="AD63" s="235"/>
      <c r="AE63" s="221" t="s">
        <v>1079</v>
      </c>
      <c r="AF63" s="92"/>
      <c r="AG63" s="92"/>
    </row>
    <row r="64">
      <c r="A64" s="183">
        <v>62.0</v>
      </c>
      <c r="B64" s="164">
        <v>46018.0</v>
      </c>
      <c r="C64" s="164">
        <v>46020.0</v>
      </c>
      <c r="D64" s="152" t="s">
        <v>54</v>
      </c>
      <c r="E64" s="106" t="s">
        <v>77</v>
      </c>
      <c r="F64" s="86">
        <v>116554.0</v>
      </c>
      <c r="G64" s="71" t="s">
        <v>91</v>
      </c>
      <c r="H64" s="103">
        <v>34.08</v>
      </c>
      <c r="I64" s="287">
        <f t="shared" si="1"/>
        <v>3972160.32</v>
      </c>
      <c r="J64" s="79">
        <f t="shared" si="19"/>
        <v>39721.6032</v>
      </c>
      <c r="K64" s="79"/>
      <c r="L64" s="79"/>
      <c r="M64" s="81">
        <f>ROUND(IF(H64&gt;31,31,H64)*52.58552%*F64,-3)</f>
        <v>1900000</v>
      </c>
      <c r="N64" s="185">
        <f t="shared" si="21"/>
        <v>1827438.717</v>
      </c>
      <c r="O64" s="71" t="s">
        <v>91</v>
      </c>
      <c r="P64" s="71" t="s">
        <v>91</v>
      </c>
      <c r="Q64" s="71" t="s">
        <v>91</v>
      </c>
      <c r="R64" s="71" t="s">
        <v>91</v>
      </c>
      <c r="S64" s="71" t="s">
        <v>91</v>
      </c>
      <c r="T64" s="166">
        <v>35000.0</v>
      </c>
      <c r="U64" s="99">
        <f t="shared" si="33"/>
        <v>105000</v>
      </c>
      <c r="V64" s="84" t="s">
        <v>450</v>
      </c>
      <c r="W64" s="85">
        <v>0.0</v>
      </c>
      <c r="X64" s="86" t="s">
        <v>91</v>
      </c>
      <c r="Y64" s="85" t="s">
        <v>91</v>
      </c>
      <c r="Z64" s="86" t="s">
        <v>91</v>
      </c>
      <c r="AA64" s="187">
        <v>100000.0</v>
      </c>
      <c r="AB64" s="136" t="s">
        <v>1091</v>
      </c>
      <c r="AC64" s="235"/>
      <c r="AD64" s="235"/>
      <c r="AE64" s="145" t="s">
        <v>1092</v>
      </c>
      <c r="AF64" s="92"/>
      <c r="AG64" s="92"/>
    </row>
    <row r="65">
      <c r="A65" s="183">
        <v>63.0</v>
      </c>
      <c r="B65" s="164">
        <v>46020.0</v>
      </c>
      <c r="C65" s="164">
        <v>46025.0</v>
      </c>
      <c r="D65" s="236" t="s">
        <v>89</v>
      </c>
      <c r="E65" s="301" t="s">
        <v>397</v>
      </c>
      <c r="F65" s="86">
        <v>190080.0</v>
      </c>
      <c r="G65" s="71" t="s">
        <v>91</v>
      </c>
      <c r="H65" s="103">
        <v>33.23</v>
      </c>
      <c r="I65" s="271">
        <f t="shared" si="1"/>
        <v>6316358.4</v>
      </c>
      <c r="J65" s="79">
        <f t="shared" si="19"/>
        <v>63163.584</v>
      </c>
      <c r="K65" s="79"/>
      <c r="L65" s="79"/>
      <c r="M65" s="81">
        <f>ROUND(IF(H65&gt;31,31,H65)*47.5182%*F65,-3)</f>
        <v>2800000</v>
      </c>
      <c r="N65" s="185">
        <f t="shared" si="21"/>
        <v>3253194.816</v>
      </c>
      <c r="O65" s="71" t="s">
        <v>91</v>
      </c>
      <c r="P65" s="71" t="s">
        <v>91</v>
      </c>
      <c r="Q65" s="71" t="s">
        <v>91</v>
      </c>
      <c r="R65" s="71" t="s">
        <v>91</v>
      </c>
      <c r="S65" s="71" t="s">
        <v>91</v>
      </c>
      <c r="T65" s="166">
        <v>50000.0</v>
      </c>
      <c r="U65" s="99">
        <f>2*T65</f>
        <v>100000</v>
      </c>
      <c r="V65" s="84" t="s">
        <v>450</v>
      </c>
      <c r="W65" s="85">
        <v>0.0</v>
      </c>
      <c r="X65" s="86" t="s">
        <v>91</v>
      </c>
      <c r="Y65" s="85" t="s">
        <v>91</v>
      </c>
      <c r="Z65" s="86" t="s">
        <v>91</v>
      </c>
      <c r="AA65" s="187">
        <v>100000.0</v>
      </c>
      <c r="AB65" s="136" t="s">
        <v>1098</v>
      </c>
      <c r="AC65" s="235"/>
      <c r="AD65" s="235"/>
      <c r="AE65" s="285" t="s">
        <v>1101</v>
      </c>
      <c r="AF65" s="92"/>
      <c r="AG65" s="92"/>
    </row>
    <row r="66">
      <c r="A66" s="183">
        <v>64.0</v>
      </c>
      <c r="B66" s="164">
        <v>46028.0</v>
      </c>
      <c r="C66" s="164">
        <v>46030.0</v>
      </c>
      <c r="D66" s="152" t="s">
        <v>54</v>
      </c>
      <c r="E66" s="301" t="s">
        <v>565</v>
      </c>
      <c r="F66" s="70">
        <v>116554.0</v>
      </c>
      <c r="G66" s="72">
        <v>32.36</v>
      </c>
      <c r="H66" s="72">
        <v>32.02</v>
      </c>
      <c r="I66" s="77">
        <f t="shared" si="1"/>
        <v>3732059.08</v>
      </c>
      <c r="J66" s="79">
        <f t="shared" si="19"/>
        <v>37320.5908</v>
      </c>
      <c r="K66" s="79"/>
      <c r="L66" s="79"/>
      <c r="M66" s="81">
        <f>ROUND(IF(H66&gt;31,31,H66)*52.58552%*F66,-3)</f>
        <v>1900000</v>
      </c>
      <c r="N66" s="185">
        <f t="shared" si="21"/>
        <v>1659738.489</v>
      </c>
      <c r="O66" s="307">
        <f t="shared" ref="O66:O120" si="34">0.3%*G66</f>
        <v>0.09708</v>
      </c>
      <c r="P66" s="308">
        <f t="shared" ref="P66:P120" si="35">G66-H66</f>
        <v>0.34</v>
      </c>
      <c r="Q66" s="308">
        <f t="shared" ref="Q66:Q120" si="36">IF(P66&gt;O66,(1000000*(P66-O66)),0)</f>
        <v>242920</v>
      </c>
      <c r="R66" s="308">
        <f t="shared" ref="R66:R120" si="37">Q66/2</f>
        <v>121460</v>
      </c>
      <c r="S66" s="309">
        <v>46188.0</v>
      </c>
      <c r="T66" s="166">
        <v>35000.0</v>
      </c>
      <c r="U66" s="99">
        <f>1*T66</f>
        <v>35000</v>
      </c>
      <c r="V66" s="84" t="s">
        <v>450</v>
      </c>
      <c r="W66" s="85">
        <v>0.0</v>
      </c>
      <c r="X66" s="86" t="s">
        <v>91</v>
      </c>
      <c r="Y66" s="85" t="s">
        <v>91</v>
      </c>
      <c r="Z66" s="86" t="s">
        <v>91</v>
      </c>
      <c r="AA66" s="187">
        <v>100000.0</v>
      </c>
      <c r="AB66" s="136" t="s">
        <v>1124</v>
      </c>
      <c r="AC66" s="235"/>
      <c r="AD66" s="235"/>
      <c r="AE66" s="221" t="s">
        <v>1126</v>
      </c>
      <c r="AF66" s="293">
        <f>32360*0.3%</f>
        <v>97.08</v>
      </c>
      <c r="AG66" s="311">
        <f>340-AF66</f>
        <v>242.92</v>
      </c>
    </row>
    <row r="67">
      <c r="A67" s="183">
        <v>65.0</v>
      </c>
      <c r="B67" s="164">
        <v>46032.0</v>
      </c>
      <c r="C67" s="164">
        <v>46034.0</v>
      </c>
      <c r="D67" s="236" t="s">
        <v>89</v>
      </c>
      <c r="E67" s="154" t="s">
        <v>397</v>
      </c>
      <c r="F67" s="86">
        <v>190080.0</v>
      </c>
      <c r="G67" s="103">
        <v>31.84</v>
      </c>
      <c r="H67" s="103">
        <v>31.84</v>
      </c>
      <c r="I67" s="155">
        <f t="shared" si="1"/>
        <v>6052147.2</v>
      </c>
      <c r="J67" s="79">
        <f t="shared" si="19"/>
        <v>60521.472</v>
      </c>
      <c r="K67" s="79"/>
      <c r="L67" s="79"/>
      <c r="M67" s="81">
        <f t="shared" ref="M67:M68" si="38">ROUND(IF(H67&gt;31,31,H67)*47.5182%*F67,-3)</f>
        <v>2800000</v>
      </c>
      <c r="N67" s="185">
        <f t="shared" si="21"/>
        <v>3041625.728</v>
      </c>
      <c r="O67" s="307">
        <f t="shared" si="34"/>
        <v>0.09552</v>
      </c>
      <c r="P67" s="95">
        <f t="shared" si="35"/>
        <v>0</v>
      </c>
      <c r="Q67" s="95">
        <f t="shared" si="36"/>
        <v>0</v>
      </c>
      <c r="R67" s="95">
        <f t="shared" si="37"/>
        <v>0</v>
      </c>
      <c r="S67" s="71" t="s">
        <v>91</v>
      </c>
      <c r="T67" s="166">
        <v>50000.0</v>
      </c>
      <c r="U67" s="99">
        <f>0*T67</f>
        <v>0</v>
      </c>
      <c r="V67" s="84" t="s">
        <v>450</v>
      </c>
      <c r="W67" s="171">
        <v>50000.0</v>
      </c>
      <c r="X67" s="84" t="s">
        <v>1144</v>
      </c>
      <c r="Y67" s="85" t="s">
        <v>91</v>
      </c>
      <c r="Z67" s="86" t="s">
        <v>91</v>
      </c>
      <c r="AA67" s="187">
        <v>100000.0</v>
      </c>
      <c r="AB67" s="136" t="s">
        <v>1146</v>
      </c>
      <c r="AC67" s="235"/>
      <c r="AD67" s="235"/>
      <c r="AE67" s="282"/>
      <c r="AF67" s="92"/>
      <c r="AG67" s="92"/>
    </row>
    <row r="68">
      <c r="A68" s="183">
        <v>66.0</v>
      </c>
      <c r="B68" s="164">
        <v>46035.0</v>
      </c>
      <c r="C68" s="164">
        <v>46039.0</v>
      </c>
      <c r="D68" s="236" t="s">
        <v>89</v>
      </c>
      <c r="E68" s="154" t="s">
        <v>397</v>
      </c>
      <c r="F68" s="86">
        <v>190080.0</v>
      </c>
      <c r="G68" s="72">
        <v>34.9</v>
      </c>
      <c r="H68" s="103">
        <v>34.67</v>
      </c>
      <c r="I68" s="155">
        <f t="shared" si="1"/>
        <v>6590073.6</v>
      </c>
      <c r="J68" s="79">
        <f t="shared" si="19"/>
        <v>65900.736</v>
      </c>
      <c r="K68" s="79"/>
      <c r="L68" s="79"/>
      <c r="M68" s="81">
        <f t="shared" si="38"/>
        <v>2800000</v>
      </c>
      <c r="N68" s="185">
        <f t="shared" si="21"/>
        <v>3374172.864</v>
      </c>
      <c r="O68" s="307">
        <f t="shared" si="34"/>
        <v>0.1047</v>
      </c>
      <c r="P68" s="308">
        <f t="shared" si="35"/>
        <v>0.23</v>
      </c>
      <c r="Q68" s="308">
        <f t="shared" si="36"/>
        <v>125300</v>
      </c>
      <c r="R68" s="308">
        <f t="shared" si="37"/>
        <v>62650</v>
      </c>
      <c r="S68" s="309">
        <v>46188.0</v>
      </c>
      <c r="T68" s="166">
        <v>50000.0</v>
      </c>
      <c r="U68" s="99">
        <f>3*T68</f>
        <v>150000</v>
      </c>
      <c r="V68" s="84" t="s">
        <v>450</v>
      </c>
      <c r="W68" s="171">
        <v>100000.0</v>
      </c>
      <c r="X68" s="84" t="s">
        <v>1155</v>
      </c>
      <c r="Y68" s="85" t="s">
        <v>91</v>
      </c>
      <c r="Z68" s="86" t="s">
        <v>91</v>
      </c>
      <c r="AA68" s="187">
        <v>100000.0</v>
      </c>
      <c r="AB68" s="136" t="s">
        <v>1160</v>
      </c>
      <c r="AC68" s="235"/>
      <c r="AD68" s="235"/>
      <c r="AE68" s="137" t="s">
        <v>1164</v>
      </c>
      <c r="AF68" s="293">
        <f>34900*0.3%</f>
        <v>104.7</v>
      </c>
      <c r="AG68" s="311">
        <f>230-AF68</f>
        <v>125.3</v>
      </c>
    </row>
    <row r="69">
      <c r="A69" s="183">
        <v>67.0</v>
      </c>
      <c r="B69" s="164">
        <v>46043.0</v>
      </c>
      <c r="C69" s="164">
        <v>46044.0</v>
      </c>
      <c r="D69" s="152" t="s">
        <v>54</v>
      </c>
      <c r="E69" s="106" t="s">
        <v>77</v>
      </c>
      <c r="F69" s="86">
        <v>116554.0</v>
      </c>
      <c r="G69" s="103">
        <v>37.2</v>
      </c>
      <c r="H69" s="103">
        <v>37.2</v>
      </c>
      <c r="I69" s="155">
        <f t="shared" si="1"/>
        <v>4335808.8</v>
      </c>
      <c r="J69" s="79">
        <f t="shared" si="19"/>
        <v>43358.088</v>
      </c>
      <c r="K69" s="79"/>
      <c r="L69" s="79"/>
      <c r="M69" s="81">
        <f>ROUND(IF(H69&gt;31,31,H69)*52.58552%*F69,-3)</f>
        <v>1900000</v>
      </c>
      <c r="N69" s="185">
        <f t="shared" si="21"/>
        <v>2082450.712</v>
      </c>
      <c r="O69" s="307">
        <f t="shared" si="34"/>
        <v>0.1116</v>
      </c>
      <c r="P69" s="95">
        <f t="shared" si="35"/>
        <v>0</v>
      </c>
      <c r="Q69" s="95">
        <f t="shared" si="36"/>
        <v>0</v>
      </c>
      <c r="R69" s="95">
        <f t="shared" si="37"/>
        <v>0</v>
      </c>
      <c r="S69" s="71" t="s">
        <v>91</v>
      </c>
      <c r="T69" s="166">
        <v>35000.0</v>
      </c>
      <c r="U69" s="99">
        <f>6*T69</f>
        <v>210000</v>
      </c>
      <c r="V69" s="84" t="s">
        <v>450</v>
      </c>
      <c r="W69" s="85">
        <v>0.0</v>
      </c>
      <c r="X69" s="86" t="s">
        <v>91</v>
      </c>
      <c r="Y69" s="85" t="s">
        <v>91</v>
      </c>
      <c r="Z69" s="86" t="s">
        <v>91</v>
      </c>
      <c r="AA69" s="187">
        <v>100000.0</v>
      </c>
      <c r="AB69" s="136" t="s">
        <v>1173</v>
      </c>
      <c r="AC69" s="235"/>
      <c r="AD69" s="235"/>
      <c r="AE69" s="282"/>
      <c r="AF69" s="92"/>
      <c r="AG69" s="92"/>
    </row>
    <row r="70">
      <c r="A70" s="183">
        <v>68.0</v>
      </c>
      <c r="B70" s="164">
        <v>46049.0</v>
      </c>
      <c r="C70" s="164">
        <v>46051.0</v>
      </c>
      <c r="D70" s="184" t="s">
        <v>1174</v>
      </c>
      <c r="E70" s="154" t="s">
        <v>565</v>
      </c>
      <c r="F70" s="103">
        <v>120890.9</v>
      </c>
      <c r="G70" s="72">
        <v>35.72</v>
      </c>
      <c r="H70" s="103">
        <v>35.37</v>
      </c>
      <c r="I70" s="155">
        <f t="shared" si="1"/>
        <v>4275911.133</v>
      </c>
      <c r="J70" s="79">
        <f t="shared" si="19"/>
        <v>42759.11133</v>
      </c>
      <c r="K70" s="79"/>
      <c r="L70" s="79"/>
      <c r="M70" s="81">
        <f>ROUND(IF(H70&gt;31,31,H70)*50.686%*F70,-3)</f>
        <v>1900000</v>
      </c>
      <c r="N70" s="185">
        <f t="shared" si="21"/>
        <v>2033152.022</v>
      </c>
      <c r="O70" s="307">
        <f t="shared" si="34"/>
        <v>0.10716</v>
      </c>
      <c r="P70" s="308">
        <f t="shared" si="35"/>
        <v>0.35</v>
      </c>
      <c r="Q70" s="308">
        <f t="shared" si="36"/>
        <v>242840</v>
      </c>
      <c r="R70" s="308">
        <f t="shared" si="37"/>
        <v>121420</v>
      </c>
      <c r="S70" s="309">
        <v>46188.0</v>
      </c>
      <c r="T70" s="166">
        <v>50000.0</v>
      </c>
      <c r="U70" s="99">
        <f>4*T70</f>
        <v>200000</v>
      </c>
      <c r="V70" s="84" t="s">
        <v>450</v>
      </c>
      <c r="W70" s="85">
        <v>0.0</v>
      </c>
      <c r="X70" s="86" t="s">
        <v>91</v>
      </c>
      <c r="Y70" s="85" t="s">
        <v>91</v>
      </c>
      <c r="Z70" s="86" t="s">
        <v>91</v>
      </c>
      <c r="AA70" s="187">
        <v>100000.0</v>
      </c>
      <c r="AB70" s="136" t="s">
        <v>1185</v>
      </c>
      <c r="AC70" s="235"/>
      <c r="AD70" s="235"/>
      <c r="AE70" s="221" t="s">
        <v>1186</v>
      </c>
      <c r="AF70" s="293">
        <f>35720*0.3%</f>
        <v>107.16</v>
      </c>
      <c r="AG70" s="311">
        <f>350-AF70</f>
        <v>242.84</v>
      </c>
    </row>
    <row r="71">
      <c r="A71" s="183">
        <v>69.0</v>
      </c>
      <c r="B71" s="164">
        <v>46051.0</v>
      </c>
      <c r="C71" s="164">
        <v>46053.0</v>
      </c>
      <c r="D71" s="236" t="s">
        <v>89</v>
      </c>
      <c r="E71" s="154" t="s">
        <v>397</v>
      </c>
      <c r="F71" s="86">
        <v>190080.0</v>
      </c>
      <c r="G71" s="103">
        <v>32.36</v>
      </c>
      <c r="H71" s="103">
        <v>32.21</v>
      </c>
      <c r="I71" s="155">
        <f t="shared" si="1"/>
        <v>6122476.8</v>
      </c>
      <c r="J71" s="79">
        <f t="shared" si="19"/>
        <v>61224.768</v>
      </c>
      <c r="K71" s="79"/>
      <c r="L71" s="79"/>
      <c r="M71" s="81">
        <f>ROUND(IF(H71&gt;31,31,H71)*47.5182%*F71,-3)</f>
        <v>2800000</v>
      </c>
      <c r="N71" s="185">
        <f t="shared" si="21"/>
        <v>3061252.032</v>
      </c>
      <c r="O71" s="307">
        <f t="shared" si="34"/>
        <v>0.09708</v>
      </c>
      <c r="P71" s="308">
        <f t="shared" si="35"/>
        <v>0.15</v>
      </c>
      <c r="Q71" s="308">
        <f t="shared" si="36"/>
        <v>52920</v>
      </c>
      <c r="R71" s="308">
        <f t="shared" si="37"/>
        <v>26460</v>
      </c>
      <c r="S71" s="309">
        <v>46188.0</v>
      </c>
      <c r="T71" s="166">
        <v>50000.0</v>
      </c>
      <c r="U71" s="99">
        <f>1*T71</f>
        <v>50000</v>
      </c>
      <c r="V71" s="84" t="s">
        <v>450</v>
      </c>
      <c r="W71" s="171">
        <v>50000.0</v>
      </c>
      <c r="X71" s="84" t="s">
        <v>1193</v>
      </c>
      <c r="Y71" s="85" t="s">
        <v>91</v>
      </c>
      <c r="Z71" s="86" t="s">
        <v>91</v>
      </c>
      <c r="AA71" s="187">
        <v>100000.0</v>
      </c>
      <c r="AB71" s="136" t="s">
        <v>1194</v>
      </c>
      <c r="AC71" s="235"/>
      <c r="AD71" s="235"/>
      <c r="AE71" s="221" t="s">
        <v>1195</v>
      </c>
      <c r="AF71" s="293">
        <f>32360*0.3%</f>
        <v>97.08</v>
      </c>
      <c r="AG71" s="311">
        <f>150-AF71</f>
        <v>52.92</v>
      </c>
    </row>
    <row r="72">
      <c r="A72" s="183">
        <v>70.0</v>
      </c>
      <c r="B72" s="164">
        <v>46055.0</v>
      </c>
      <c r="C72" s="164">
        <v>46056.0</v>
      </c>
      <c r="D72" s="184" t="s">
        <v>1197</v>
      </c>
      <c r="E72" s="154" t="s">
        <v>1198</v>
      </c>
      <c r="F72" s="103">
        <v>114808.3</v>
      </c>
      <c r="G72" s="103">
        <v>35.4</v>
      </c>
      <c r="H72" s="103">
        <v>35.4</v>
      </c>
      <c r="I72" s="155">
        <f t="shared" si="1"/>
        <v>4064213.82</v>
      </c>
      <c r="J72" s="79">
        <f t="shared" si="19"/>
        <v>40642.1382</v>
      </c>
      <c r="K72" s="79"/>
      <c r="L72" s="79"/>
      <c r="M72" s="81">
        <f>ROUND(IF(H72&gt;31,31,H72)*50.562%*F72,-3)</f>
        <v>1800000</v>
      </c>
      <c r="N72" s="185">
        <f t="shared" si="21"/>
        <v>1923571.682</v>
      </c>
      <c r="O72" s="307">
        <f t="shared" si="34"/>
        <v>0.1062</v>
      </c>
      <c r="P72" s="95">
        <f t="shared" si="35"/>
        <v>0</v>
      </c>
      <c r="Q72" s="95">
        <f t="shared" si="36"/>
        <v>0</v>
      </c>
      <c r="R72" s="95">
        <f t="shared" si="37"/>
        <v>0</v>
      </c>
      <c r="S72" s="71" t="s">
        <v>91</v>
      </c>
      <c r="T72" s="166">
        <v>50000.0</v>
      </c>
      <c r="U72" s="99">
        <f>4*T72</f>
        <v>200000</v>
      </c>
      <c r="V72" s="84" t="s">
        <v>450</v>
      </c>
      <c r="W72" s="85">
        <v>0.0</v>
      </c>
      <c r="X72" s="86" t="s">
        <v>91</v>
      </c>
      <c r="Y72" s="85" t="s">
        <v>91</v>
      </c>
      <c r="Z72" s="86" t="s">
        <v>91</v>
      </c>
      <c r="AA72" s="187">
        <v>100000.0</v>
      </c>
      <c r="AB72" s="136" t="s">
        <v>1216</v>
      </c>
      <c r="AC72" s="235"/>
      <c r="AD72" s="235"/>
      <c r="AE72" s="145" t="s">
        <v>1217</v>
      </c>
      <c r="AF72" s="92"/>
      <c r="AG72" s="92"/>
    </row>
    <row r="73">
      <c r="A73" s="183">
        <v>71.0</v>
      </c>
      <c r="B73" s="164">
        <v>46058.0</v>
      </c>
      <c r="C73" s="164">
        <v>46059.0</v>
      </c>
      <c r="D73" s="152" t="s">
        <v>54</v>
      </c>
      <c r="E73" s="154" t="s">
        <v>565</v>
      </c>
      <c r="F73" s="86">
        <v>116554.0</v>
      </c>
      <c r="G73" s="103">
        <v>33.4</v>
      </c>
      <c r="H73" s="103">
        <v>32.96</v>
      </c>
      <c r="I73" s="155">
        <f t="shared" si="1"/>
        <v>3841619.84</v>
      </c>
      <c r="J73" s="79">
        <f t="shared" si="19"/>
        <v>38416.1984</v>
      </c>
      <c r="K73" s="79"/>
      <c r="L73" s="79"/>
      <c r="M73" s="81">
        <f>ROUND(IF(H73&gt;31,31,H73)*52.58552%*F73,-3)</f>
        <v>1900000</v>
      </c>
      <c r="N73" s="185">
        <f t="shared" si="21"/>
        <v>1733203.642</v>
      </c>
      <c r="O73" s="307">
        <f t="shared" si="34"/>
        <v>0.1002</v>
      </c>
      <c r="P73" s="308">
        <f t="shared" si="35"/>
        <v>0.44</v>
      </c>
      <c r="Q73" s="308">
        <f t="shared" si="36"/>
        <v>339800</v>
      </c>
      <c r="R73" s="308">
        <f t="shared" si="37"/>
        <v>169900</v>
      </c>
      <c r="S73" s="309">
        <v>46188.0</v>
      </c>
      <c r="T73" s="166">
        <v>35000.0</v>
      </c>
      <c r="U73" s="99">
        <f t="shared" ref="U73:U74" si="39">2*T73</f>
        <v>70000</v>
      </c>
      <c r="V73" s="84" t="s">
        <v>450</v>
      </c>
      <c r="W73" s="85">
        <v>0.0</v>
      </c>
      <c r="X73" s="86" t="s">
        <v>91</v>
      </c>
      <c r="Y73" s="85" t="s">
        <v>91</v>
      </c>
      <c r="Z73" s="86" t="s">
        <v>91</v>
      </c>
      <c r="AA73" s="187">
        <v>100000.0</v>
      </c>
      <c r="AB73" s="136" t="s">
        <v>1225</v>
      </c>
      <c r="AC73" s="235"/>
      <c r="AD73" s="235"/>
      <c r="AE73" s="221" t="s">
        <v>1226</v>
      </c>
      <c r="AF73" s="293">
        <f>33400*0.3%</f>
        <v>100.2</v>
      </c>
      <c r="AG73" s="311">
        <f>440-AF73</f>
        <v>339.8</v>
      </c>
    </row>
    <row r="74">
      <c r="A74" s="183">
        <v>72.0</v>
      </c>
      <c r="B74" s="164">
        <v>46062.0</v>
      </c>
      <c r="C74" s="164">
        <v>46063.0</v>
      </c>
      <c r="D74" s="165" t="s">
        <v>89</v>
      </c>
      <c r="E74" s="236" t="s">
        <v>397</v>
      </c>
      <c r="F74" s="86">
        <v>190080.0</v>
      </c>
      <c r="G74" s="103">
        <v>33.18</v>
      </c>
      <c r="H74" s="103">
        <v>33.18</v>
      </c>
      <c r="I74" s="155">
        <f t="shared" si="1"/>
        <v>6306854.4</v>
      </c>
      <c r="J74" s="79">
        <f t="shared" si="19"/>
        <v>63068.544</v>
      </c>
      <c r="K74" s="79"/>
      <c r="L74" s="79"/>
      <c r="M74" s="81">
        <f t="shared" ref="M74:M76" si="40">ROUND(IF(H74&gt;31,31,H74)*47.5182%*F74,-3)</f>
        <v>2800000</v>
      </c>
      <c r="N74" s="185">
        <f t="shared" si="21"/>
        <v>3243785.856</v>
      </c>
      <c r="O74" s="307">
        <f t="shared" si="34"/>
        <v>0.09954</v>
      </c>
      <c r="P74" s="95">
        <f t="shared" si="35"/>
        <v>0</v>
      </c>
      <c r="Q74" s="95">
        <f t="shared" si="36"/>
        <v>0</v>
      </c>
      <c r="R74" s="95">
        <f t="shared" si="37"/>
        <v>0</v>
      </c>
      <c r="S74" s="71" t="s">
        <v>91</v>
      </c>
      <c r="T74" s="166">
        <v>50000.0</v>
      </c>
      <c r="U74" s="99">
        <f t="shared" si="39"/>
        <v>100000</v>
      </c>
      <c r="V74" s="84" t="s">
        <v>450</v>
      </c>
      <c r="W74" s="85">
        <v>0.0</v>
      </c>
      <c r="X74" s="86" t="s">
        <v>91</v>
      </c>
      <c r="Y74" s="85" t="s">
        <v>91</v>
      </c>
      <c r="Z74" s="86" t="s">
        <v>91</v>
      </c>
      <c r="AA74" s="187">
        <v>100000.0</v>
      </c>
      <c r="AB74" s="136" t="s">
        <v>1239</v>
      </c>
      <c r="AC74" s="235"/>
      <c r="AD74" s="235"/>
      <c r="AE74" s="282"/>
      <c r="AF74" s="92"/>
      <c r="AG74" s="92"/>
    </row>
    <row r="75">
      <c r="A75" s="183">
        <v>73.0</v>
      </c>
      <c r="B75" s="164">
        <v>46064.0</v>
      </c>
      <c r="C75" s="164">
        <v>46066.0</v>
      </c>
      <c r="D75" s="165" t="s">
        <v>89</v>
      </c>
      <c r="E75" s="165" t="s">
        <v>397</v>
      </c>
      <c r="F75" s="86">
        <v>190080.0</v>
      </c>
      <c r="G75" s="103">
        <v>34.78</v>
      </c>
      <c r="H75" s="103">
        <v>34.49</v>
      </c>
      <c r="I75" s="287">
        <f t="shared" si="1"/>
        <v>6555859.2</v>
      </c>
      <c r="J75" s="79">
        <f t="shared" si="19"/>
        <v>65558.592</v>
      </c>
      <c r="K75" s="79"/>
      <c r="L75" s="79"/>
      <c r="M75" s="81">
        <f t="shared" si="40"/>
        <v>2800000</v>
      </c>
      <c r="N75" s="185">
        <f t="shared" si="21"/>
        <v>3440300.608</v>
      </c>
      <c r="O75" s="307">
        <f t="shared" si="34"/>
        <v>0.10434</v>
      </c>
      <c r="P75" s="308">
        <f t="shared" si="35"/>
        <v>0.29</v>
      </c>
      <c r="Q75" s="308">
        <f t="shared" si="36"/>
        <v>185660</v>
      </c>
      <c r="R75" s="308">
        <f t="shared" si="37"/>
        <v>92830</v>
      </c>
      <c r="S75" s="309">
        <v>46188.0</v>
      </c>
      <c r="T75" s="166">
        <v>50000.0</v>
      </c>
      <c r="U75" s="99">
        <f>3*T75</f>
        <v>150000</v>
      </c>
      <c r="V75" s="84" t="s">
        <v>450</v>
      </c>
      <c r="W75" s="85">
        <v>0.0</v>
      </c>
      <c r="X75" s="86" t="s">
        <v>91</v>
      </c>
      <c r="Y75" s="85" t="s">
        <v>91</v>
      </c>
      <c r="Z75" s="86" t="s">
        <v>91</v>
      </c>
      <c r="AA75" s="85">
        <v>100000.0</v>
      </c>
      <c r="AB75" s="136" t="s">
        <v>1246</v>
      </c>
      <c r="AC75" s="235"/>
      <c r="AD75" s="235"/>
      <c r="AE75" s="221" t="s">
        <v>1248</v>
      </c>
      <c r="AF75" s="293">
        <f>34780*0.3%</f>
        <v>104.34</v>
      </c>
      <c r="AG75" s="311">
        <f>290-AF75</f>
        <v>185.66</v>
      </c>
    </row>
    <row r="76">
      <c r="A76" s="183">
        <v>74.0</v>
      </c>
      <c r="B76" s="164">
        <v>46069.0</v>
      </c>
      <c r="C76" s="164">
        <v>46071.0</v>
      </c>
      <c r="D76" s="236" t="s">
        <v>89</v>
      </c>
      <c r="E76" s="165" t="s">
        <v>530</v>
      </c>
      <c r="F76" s="86">
        <v>190080.0</v>
      </c>
      <c r="G76" s="103">
        <v>33.96</v>
      </c>
      <c r="H76" s="103">
        <v>33.79</v>
      </c>
      <c r="I76" s="155">
        <f t="shared" si="1"/>
        <v>6422803.2</v>
      </c>
      <c r="J76" s="79">
        <f t="shared" si="19"/>
        <v>64228.032</v>
      </c>
      <c r="K76" s="79"/>
      <c r="L76" s="79"/>
      <c r="M76" s="81">
        <f t="shared" si="40"/>
        <v>2800000</v>
      </c>
      <c r="N76" s="185">
        <f t="shared" si="21"/>
        <v>3358575.168</v>
      </c>
      <c r="O76" s="307">
        <f t="shared" si="34"/>
        <v>0.10188</v>
      </c>
      <c r="P76" s="308">
        <f t="shared" si="35"/>
        <v>0.17</v>
      </c>
      <c r="Q76" s="308">
        <f t="shared" si="36"/>
        <v>68120</v>
      </c>
      <c r="R76" s="308">
        <f t="shared" si="37"/>
        <v>34060</v>
      </c>
      <c r="S76" s="309">
        <v>46188.0</v>
      </c>
      <c r="T76" s="166">
        <v>50000.0</v>
      </c>
      <c r="U76" s="99">
        <f>2*T76</f>
        <v>100000</v>
      </c>
      <c r="V76" s="84" t="s">
        <v>450</v>
      </c>
      <c r="W76" s="85">
        <v>0.0</v>
      </c>
      <c r="X76" s="86" t="s">
        <v>91</v>
      </c>
      <c r="Y76" s="85" t="s">
        <v>91</v>
      </c>
      <c r="Z76" s="86" t="s">
        <v>91</v>
      </c>
      <c r="AA76" s="187">
        <v>100000.0</v>
      </c>
      <c r="AB76" s="136" t="s">
        <v>1263</v>
      </c>
      <c r="AC76" s="235"/>
      <c r="AD76" s="235"/>
      <c r="AE76" s="221" t="s">
        <v>1264</v>
      </c>
      <c r="AF76" s="293">
        <f>33960*0.3%</f>
        <v>101.88</v>
      </c>
      <c r="AG76" s="311">
        <f>170-AF76</f>
        <v>68.12</v>
      </c>
    </row>
    <row r="77">
      <c r="A77" s="183">
        <v>75.0</v>
      </c>
      <c r="B77" s="164">
        <v>46072.0</v>
      </c>
      <c r="C77" s="164">
        <v>46073.0</v>
      </c>
      <c r="D77" s="152" t="s">
        <v>54</v>
      </c>
      <c r="E77" s="106" t="s">
        <v>77</v>
      </c>
      <c r="F77" s="86">
        <v>116554.0</v>
      </c>
      <c r="G77" s="103">
        <v>35.26</v>
      </c>
      <c r="H77" s="103">
        <v>35.26</v>
      </c>
      <c r="I77" s="155">
        <f t="shared" si="1"/>
        <v>4109694.04</v>
      </c>
      <c r="J77" s="79">
        <f t="shared" si="19"/>
        <v>41096.9404</v>
      </c>
      <c r="K77" s="79"/>
      <c r="L77" s="79"/>
      <c r="M77" s="81">
        <f>ROUND(IF(H77&gt;31,31,H77)*52.58552%*F77,-3)</f>
        <v>1900000</v>
      </c>
      <c r="N77" s="185">
        <f t="shared" si="21"/>
        <v>1928597.1</v>
      </c>
      <c r="O77" s="307">
        <f t="shared" si="34"/>
        <v>0.10578</v>
      </c>
      <c r="P77" s="95">
        <f t="shared" si="35"/>
        <v>0</v>
      </c>
      <c r="Q77" s="95">
        <f t="shared" si="36"/>
        <v>0</v>
      </c>
      <c r="R77" s="95">
        <f t="shared" si="37"/>
        <v>0</v>
      </c>
      <c r="S77" s="71" t="s">
        <v>91</v>
      </c>
      <c r="T77" s="166">
        <v>35000.0</v>
      </c>
      <c r="U77" s="99">
        <f>4*T77</f>
        <v>140000</v>
      </c>
      <c r="V77" s="84" t="s">
        <v>450</v>
      </c>
      <c r="W77" s="85">
        <v>0.0</v>
      </c>
      <c r="X77" s="86" t="s">
        <v>91</v>
      </c>
      <c r="Y77" s="85" t="s">
        <v>91</v>
      </c>
      <c r="Z77" s="86" t="s">
        <v>91</v>
      </c>
      <c r="AA77" s="187">
        <v>100000.0</v>
      </c>
      <c r="AB77" s="136" t="s">
        <v>1273</v>
      </c>
      <c r="AC77" s="235"/>
      <c r="AD77" s="235"/>
      <c r="AE77" s="282"/>
      <c r="AF77" s="92"/>
      <c r="AG77" s="92"/>
    </row>
    <row r="78">
      <c r="A78" s="183">
        <v>76.0</v>
      </c>
      <c r="B78" s="164">
        <v>46074.0</v>
      </c>
      <c r="C78" s="164">
        <v>46074.0</v>
      </c>
      <c r="D78" s="184" t="s">
        <v>1197</v>
      </c>
      <c r="E78" s="154" t="s">
        <v>1198</v>
      </c>
      <c r="F78" s="103">
        <v>114808.3</v>
      </c>
      <c r="G78" s="103">
        <v>33.14</v>
      </c>
      <c r="H78" s="103">
        <v>33.14</v>
      </c>
      <c r="I78" s="155">
        <f t="shared" si="1"/>
        <v>3804747.062</v>
      </c>
      <c r="J78" s="79">
        <f t="shared" si="19"/>
        <v>38047.47062</v>
      </c>
      <c r="K78" s="79"/>
      <c r="L78" s="79"/>
      <c r="M78" s="81">
        <f>ROUND(IF(H78&gt;31,31,H78)*50.562%*F78,-3)</f>
        <v>1800000</v>
      </c>
      <c r="N78" s="185">
        <f t="shared" si="21"/>
        <v>1766699.591</v>
      </c>
      <c r="O78" s="307">
        <f t="shared" si="34"/>
        <v>0.09942</v>
      </c>
      <c r="P78" s="95">
        <f t="shared" si="35"/>
        <v>0</v>
      </c>
      <c r="Q78" s="95">
        <f t="shared" si="36"/>
        <v>0</v>
      </c>
      <c r="R78" s="95">
        <f t="shared" si="37"/>
        <v>0</v>
      </c>
      <c r="S78" s="71" t="s">
        <v>91</v>
      </c>
      <c r="T78" s="166">
        <v>50000.0</v>
      </c>
      <c r="U78" s="99">
        <f>2*T78</f>
        <v>100000</v>
      </c>
      <c r="V78" s="84" t="s">
        <v>450</v>
      </c>
      <c r="W78" s="85">
        <v>0.0</v>
      </c>
      <c r="X78" s="86" t="s">
        <v>91</v>
      </c>
      <c r="Y78" s="85" t="s">
        <v>91</v>
      </c>
      <c r="Z78" s="86" t="s">
        <v>91</v>
      </c>
      <c r="AA78" s="187">
        <v>100000.0</v>
      </c>
      <c r="AB78" s="136" t="s">
        <v>1278</v>
      </c>
      <c r="AC78" s="235"/>
      <c r="AD78" s="235"/>
      <c r="AE78" s="282"/>
      <c r="AF78" s="92"/>
      <c r="AG78" s="92"/>
    </row>
    <row r="79">
      <c r="A79" s="183">
        <v>77.0</v>
      </c>
      <c r="B79" s="164">
        <v>46076.0</v>
      </c>
      <c r="C79" s="164">
        <v>46077.0</v>
      </c>
      <c r="D79" s="152" t="s">
        <v>54</v>
      </c>
      <c r="E79" s="106" t="s">
        <v>77</v>
      </c>
      <c r="F79" s="86">
        <v>116554.0</v>
      </c>
      <c r="G79" s="103">
        <v>38.12</v>
      </c>
      <c r="H79" s="103">
        <v>38.12</v>
      </c>
      <c r="I79" s="155">
        <f t="shared" si="1"/>
        <v>4443038.48</v>
      </c>
      <c r="J79" s="79">
        <f t="shared" si="19"/>
        <v>44430.3848</v>
      </c>
      <c r="K79" s="79"/>
      <c r="L79" s="79"/>
      <c r="M79" s="81">
        <f>ROUND(IF(H79&gt;31,31,H79)*52.58552%*F79,-3)</f>
        <v>1900000</v>
      </c>
      <c r="N79" s="185">
        <f t="shared" si="21"/>
        <v>2153608.095</v>
      </c>
      <c r="O79" s="307">
        <f t="shared" si="34"/>
        <v>0.11436</v>
      </c>
      <c r="P79" s="95">
        <f t="shared" si="35"/>
        <v>0</v>
      </c>
      <c r="Q79" s="95">
        <f t="shared" si="36"/>
        <v>0</v>
      </c>
      <c r="R79" s="95">
        <f t="shared" si="37"/>
        <v>0</v>
      </c>
      <c r="S79" s="71" t="s">
        <v>91</v>
      </c>
      <c r="T79" s="166">
        <v>35000.0</v>
      </c>
      <c r="U79" s="99">
        <f>7*T79</f>
        <v>245000</v>
      </c>
      <c r="V79" s="84" t="s">
        <v>450</v>
      </c>
      <c r="W79" s="85">
        <v>0.0</v>
      </c>
      <c r="X79" s="86" t="s">
        <v>91</v>
      </c>
      <c r="Y79" s="85" t="s">
        <v>91</v>
      </c>
      <c r="Z79" s="86" t="s">
        <v>91</v>
      </c>
      <c r="AA79" s="187">
        <v>100000.0</v>
      </c>
      <c r="AB79" s="136" t="s">
        <v>1286</v>
      </c>
      <c r="AC79" s="235"/>
      <c r="AD79" s="235"/>
      <c r="AE79" s="282"/>
      <c r="AF79" s="92"/>
      <c r="AG79" s="92"/>
    </row>
    <row r="80">
      <c r="A80" s="214">
        <v>78.0</v>
      </c>
      <c r="B80" s="164">
        <v>46078.0</v>
      </c>
      <c r="C80" s="164">
        <v>46080.0</v>
      </c>
      <c r="D80" s="353" t="s">
        <v>156</v>
      </c>
      <c r="E80" s="165" t="s">
        <v>682</v>
      </c>
      <c r="F80" s="86">
        <v>147316.0</v>
      </c>
      <c r="G80" s="103">
        <v>34.06</v>
      </c>
      <c r="H80" s="103">
        <v>34.06</v>
      </c>
      <c r="I80" s="155">
        <f t="shared" si="1"/>
        <v>5017582.96</v>
      </c>
      <c r="J80" s="79">
        <f t="shared" si="19"/>
        <v>50175.8296</v>
      </c>
      <c r="K80" s="79"/>
      <c r="L80" s="79"/>
      <c r="M80" s="81">
        <f>ROUND(IF(H80&gt;31,31,H80)*61.31233%*F80,-3)</f>
        <v>2800000</v>
      </c>
      <c r="N80" s="185">
        <f t="shared" si="21"/>
        <v>1917407.13</v>
      </c>
      <c r="O80" s="307">
        <f t="shared" si="34"/>
        <v>0.10218</v>
      </c>
      <c r="P80" s="95">
        <f t="shared" si="35"/>
        <v>0</v>
      </c>
      <c r="Q80" s="95">
        <f t="shared" si="36"/>
        <v>0</v>
      </c>
      <c r="R80" s="95">
        <f t="shared" si="37"/>
        <v>0</v>
      </c>
      <c r="S80" s="71" t="s">
        <v>91</v>
      </c>
      <c r="T80" s="166">
        <v>50000.0</v>
      </c>
      <c r="U80" s="99">
        <f t="shared" ref="U80:U81" si="41">3*T80</f>
        <v>150000</v>
      </c>
      <c r="V80" s="84" t="s">
        <v>450</v>
      </c>
      <c r="W80" s="85">
        <v>0.0</v>
      </c>
      <c r="X80" s="86" t="s">
        <v>91</v>
      </c>
      <c r="Y80" s="85" t="s">
        <v>91</v>
      </c>
      <c r="Z80" s="86" t="s">
        <v>91</v>
      </c>
      <c r="AA80" s="85">
        <v>100000.0</v>
      </c>
      <c r="AB80" s="136" t="s">
        <v>1295</v>
      </c>
      <c r="AC80" s="234"/>
      <c r="AD80" s="234"/>
      <c r="AE80" s="361" t="s">
        <v>1296</v>
      </c>
      <c r="AF80" s="92"/>
      <c r="AG80" s="92"/>
    </row>
    <row r="81">
      <c r="A81" s="183">
        <v>79.0</v>
      </c>
      <c r="B81" s="164">
        <v>46082.0</v>
      </c>
      <c r="C81" s="164">
        <v>46084.0</v>
      </c>
      <c r="D81" s="152" t="s">
        <v>54</v>
      </c>
      <c r="E81" s="154" t="s">
        <v>565</v>
      </c>
      <c r="F81" s="86">
        <v>116554.0</v>
      </c>
      <c r="G81" s="103">
        <v>34.84</v>
      </c>
      <c r="H81" s="103">
        <v>34.84</v>
      </c>
      <c r="I81" s="155">
        <f t="shared" si="1"/>
        <v>4060741.36</v>
      </c>
      <c r="J81" s="79">
        <f t="shared" si="19"/>
        <v>40607.4136</v>
      </c>
      <c r="K81" s="79"/>
      <c r="L81" s="79"/>
      <c r="M81" s="81">
        <f>ROUND(IF(H81&gt;31,31,H81)*52.58552%*F81,-3)</f>
        <v>1900000</v>
      </c>
      <c r="N81" s="185">
        <f t="shared" si="21"/>
        <v>1915133.946</v>
      </c>
      <c r="O81" s="307">
        <f t="shared" si="34"/>
        <v>0.10452</v>
      </c>
      <c r="P81" s="95">
        <f t="shared" si="35"/>
        <v>0</v>
      </c>
      <c r="Q81" s="95">
        <f t="shared" si="36"/>
        <v>0</v>
      </c>
      <c r="R81" s="95">
        <f t="shared" si="37"/>
        <v>0</v>
      </c>
      <c r="S81" s="71" t="s">
        <v>91</v>
      </c>
      <c r="T81" s="166">
        <v>35000.0</v>
      </c>
      <c r="U81" s="99">
        <f t="shared" si="41"/>
        <v>105000</v>
      </c>
      <c r="V81" s="84" t="s">
        <v>450</v>
      </c>
      <c r="W81" s="85">
        <v>0.0</v>
      </c>
      <c r="X81" s="86" t="s">
        <v>91</v>
      </c>
      <c r="Y81" s="85" t="s">
        <v>91</v>
      </c>
      <c r="Z81" s="86" t="s">
        <v>91</v>
      </c>
      <c r="AA81" s="187">
        <v>100000.0</v>
      </c>
      <c r="AB81" s="136" t="s">
        <v>1312</v>
      </c>
      <c r="AC81" s="235"/>
      <c r="AD81" s="235"/>
      <c r="AE81" s="285" t="s">
        <v>1315</v>
      </c>
      <c r="AF81" s="92"/>
      <c r="AG81" s="92"/>
    </row>
    <row r="82">
      <c r="A82" s="183">
        <v>80.0</v>
      </c>
      <c r="B82" s="164">
        <v>46086.0</v>
      </c>
      <c r="C82" s="164">
        <v>46088.0</v>
      </c>
      <c r="D82" s="165" t="s">
        <v>352</v>
      </c>
      <c r="E82" s="165" t="s">
        <v>1317</v>
      </c>
      <c r="F82" s="86">
        <v>196733.28</v>
      </c>
      <c r="G82" s="103">
        <v>31.44</v>
      </c>
      <c r="H82" s="103">
        <v>31.44</v>
      </c>
      <c r="I82" s="155">
        <f t="shared" si="1"/>
        <v>6185294.323</v>
      </c>
      <c r="J82" s="79">
        <f t="shared" si="19"/>
        <v>61852.94323</v>
      </c>
      <c r="K82" s="79"/>
      <c r="L82" s="79"/>
      <c r="M82" s="81">
        <f>ROUND(IF(H82&gt;31,31,H82)*50.83036%*F82,-3)</f>
        <v>3100000</v>
      </c>
      <c r="N82" s="185">
        <f t="shared" si="21"/>
        <v>2923441.38</v>
      </c>
      <c r="O82" s="307">
        <f t="shared" si="34"/>
        <v>0.09432</v>
      </c>
      <c r="P82" s="95">
        <f t="shared" si="35"/>
        <v>0</v>
      </c>
      <c r="Q82" s="95">
        <f t="shared" si="36"/>
        <v>0</v>
      </c>
      <c r="R82" s="95">
        <f t="shared" si="37"/>
        <v>0</v>
      </c>
      <c r="S82" s="71" t="s">
        <v>91</v>
      </c>
      <c r="T82" s="166">
        <v>50000.0</v>
      </c>
      <c r="U82" s="99">
        <f>0*T82</f>
        <v>0</v>
      </c>
      <c r="V82" s="84" t="s">
        <v>450</v>
      </c>
      <c r="W82" s="85">
        <v>0.0</v>
      </c>
      <c r="X82" s="86" t="s">
        <v>91</v>
      </c>
      <c r="Y82" s="85" t="s">
        <v>91</v>
      </c>
      <c r="Z82" s="86" t="s">
        <v>91</v>
      </c>
      <c r="AA82" s="187">
        <v>100000.0</v>
      </c>
      <c r="AB82" s="136" t="s">
        <v>1327</v>
      </c>
      <c r="AC82" s="234"/>
      <c r="AD82" s="234"/>
      <c r="AE82" s="234"/>
      <c r="AF82" s="92"/>
      <c r="AG82" s="92"/>
    </row>
    <row r="83">
      <c r="A83" s="183">
        <v>81.0</v>
      </c>
      <c r="B83" s="164">
        <v>46089.0</v>
      </c>
      <c r="C83" s="164">
        <v>46091.0</v>
      </c>
      <c r="D83" s="165" t="s">
        <v>89</v>
      </c>
      <c r="E83" s="165" t="s">
        <v>397</v>
      </c>
      <c r="F83" s="86">
        <v>190080.0</v>
      </c>
      <c r="G83" s="103">
        <v>33.64</v>
      </c>
      <c r="H83" s="103">
        <v>33.64</v>
      </c>
      <c r="I83" s="287">
        <f t="shared" si="1"/>
        <v>6394291.2</v>
      </c>
      <c r="J83" s="79">
        <f t="shared" si="19"/>
        <v>63942.912</v>
      </c>
      <c r="K83" s="79"/>
      <c r="L83" s="79"/>
      <c r="M83" s="81">
        <f t="shared" ref="M83:M84" si="42">ROUND(IF(H83&gt;31,31,H83)*47.5182%*F83,-3)</f>
        <v>2800000</v>
      </c>
      <c r="N83" s="185">
        <f t="shared" si="21"/>
        <v>3280348.288</v>
      </c>
      <c r="O83" s="307">
        <f t="shared" si="34"/>
        <v>0.10092</v>
      </c>
      <c r="P83" s="95">
        <f t="shared" si="35"/>
        <v>0</v>
      </c>
      <c r="Q83" s="95">
        <f t="shared" si="36"/>
        <v>0</v>
      </c>
      <c r="R83" s="95">
        <f t="shared" si="37"/>
        <v>0</v>
      </c>
      <c r="S83" s="71" t="s">
        <v>91</v>
      </c>
      <c r="T83" s="166">
        <v>50000.0</v>
      </c>
      <c r="U83" s="99">
        <f t="shared" ref="U83:U84" si="43">2*T83</f>
        <v>100000</v>
      </c>
      <c r="V83" s="84" t="s">
        <v>450</v>
      </c>
      <c r="W83" s="85">
        <v>50000.0</v>
      </c>
      <c r="X83" s="84" t="s">
        <v>1340</v>
      </c>
      <c r="Y83" s="85" t="s">
        <v>91</v>
      </c>
      <c r="Z83" s="86" t="s">
        <v>91</v>
      </c>
      <c r="AA83" s="85">
        <v>100000.0</v>
      </c>
      <c r="AB83" s="136" t="s">
        <v>1342</v>
      </c>
      <c r="AC83" s="235"/>
      <c r="AD83" s="235"/>
      <c r="AE83" s="285" t="s">
        <v>1343</v>
      </c>
      <c r="AF83" s="208"/>
      <c r="AG83" s="92"/>
    </row>
    <row r="84">
      <c r="A84" s="183">
        <v>82.0</v>
      </c>
      <c r="B84" s="164">
        <v>46093.0</v>
      </c>
      <c r="C84" s="164">
        <v>46094.0</v>
      </c>
      <c r="D84" s="165" t="s">
        <v>89</v>
      </c>
      <c r="E84" s="165" t="s">
        <v>397</v>
      </c>
      <c r="F84" s="86">
        <v>190080.0</v>
      </c>
      <c r="G84" s="103">
        <v>33.6</v>
      </c>
      <c r="H84" s="103">
        <v>33.42</v>
      </c>
      <c r="I84" s="287">
        <f t="shared" si="1"/>
        <v>6352473.6</v>
      </c>
      <c r="J84" s="79">
        <f t="shared" si="19"/>
        <v>63524.736</v>
      </c>
      <c r="K84" s="79"/>
      <c r="L84" s="79"/>
      <c r="M84" s="81">
        <f t="shared" si="42"/>
        <v>2800000</v>
      </c>
      <c r="N84" s="185">
        <f t="shared" si="21"/>
        <v>3288948.864</v>
      </c>
      <c r="O84" s="307">
        <f t="shared" si="34"/>
        <v>0.1008</v>
      </c>
      <c r="P84" s="308">
        <f t="shared" si="35"/>
        <v>0.18</v>
      </c>
      <c r="Q84" s="308">
        <f t="shared" si="36"/>
        <v>79200</v>
      </c>
      <c r="R84" s="308">
        <f t="shared" si="37"/>
        <v>39600</v>
      </c>
      <c r="S84" s="309">
        <v>46188.0</v>
      </c>
      <c r="T84" s="166">
        <v>50000.0</v>
      </c>
      <c r="U84" s="99">
        <f t="shared" si="43"/>
        <v>100000</v>
      </c>
      <c r="V84" s="84" t="s">
        <v>450</v>
      </c>
      <c r="W84" s="85">
        <v>0.0</v>
      </c>
      <c r="X84" s="86" t="s">
        <v>91</v>
      </c>
      <c r="Y84" s="86"/>
      <c r="Z84" s="86"/>
      <c r="AA84" s="85">
        <v>100000.0</v>
      </c>
      <c r="AB84" s="136" t="s">
        <v>1352</v>
      </c>
      <c r="AC84" s="235"/>
      <c r="AD84" s="235"/>
      <c r="AE84" s="221" t="s">
        <v>1353</v>
      </c>
      <c r="AF84" s="208"/>
      <c r="AG84" s="92"/>
    </row>
    <row r="85">
      <c r="A85" s="183">
        <v>83.0</v>
      </c>
      <c r="B85" s="164">
        <v>46111.0</v>
      </c>
      <c r="C85" s="164">
        <v>46112.0</v>
      </c>
      <c r="D85" s="152" t="s">
        <v>54</v>
      </c>
      <c r="E85" s="165" t="s">
        <v>1274</v>
      </c>
      <c r="F85" s="86">
        <v>116554.0</v>
      </c>
      <c r="G85" s="103">
        <v>32.56</v>
      </c>
      <c r="H85" s="103">
        <v>32.56</v>
      </c>
      <c r="I85" s="155">
        <f t="shared" si="1"/>
        <v>3794998.24</v>
      </c>
      <c r="J85" s="79">
        <f t="shared" si="19"/>
        <v>37949.9824</v>
      </c>
      <c r="K85" s="79"/>
      <c r="L85" s="79"/>
      <c r="M85" s="81">
        <f>ROUND(IF(H85&gt;31,31,H85)*52.58552%*F85,-3)</f>
        <v>1900000</v>
      </c>
      <c r="N85" s="185">
        <f t="shared" si="21"/>
        <v>1722048.258</v>
      </c>
      <c r="O85" s="307">
        <f t="shared" si="34"/>
        <v>0.09768</v>
      </c>
      <c r="P85" s="95">
        <f t="shared" si="35"/>
        <v>0</v>
      </c>
      <c r="Q85" s="95">
        <f t="shared" si="36"/>
        <v>0</v>
      </c>
      <c r="R85" s="95">
        <f t="shared" si="37"/>
        <v>0</v>
      </c>
      <c r="S85" s="71" t="s">
        <v>91</v>
      </c>
      <c r="T85" s="166">
        <v>35000.0</v>
      </c>
      <c r="U85" s="99">
        <f>1*T85</f>
        <v>35000</v>
      </c>
      <c r="V85" s="84" t="s">
        <v>1364</v>
      </c>
      <c r="W85" s="85">
        <v>0.0</v>
      </c>
      <c r="X85" s="86" t="s">
        <v>91</v>
      </c>
      <c r="Y85" s="86"/>
      <c r="Z85" s="86"/>
      <c r="AA85" s="187">
        <v>100000.0</v>
      </c>
      <c r="AB85" s="136" t="s">
        <v>1368</v>
      </c>
      <c r="AC85" s="235"/>
      <c r="AD85" s="235"/>
      <c r="AE85" s="207" t="s">
        <v>1371</v>
      </c>
      <c r="AF85" s="92"/>
      <c r="AG85" s="92"/>
    </row>
    <row r="86">
      <c r="A86" s="183">
        <v>84.0</v>
      </c>
      <c r="B86" s="164">
        <v>46115.0</v>
      </c>
      <c r="C86" s="164">
        <v>46116.0</v>
      </c>
      <c r="D86" s="165" t="s">
        <v>352</v>
      </c>
      <c r="E86" s="165" t="s">
        <v>1317</v>
      </c>
      <c r="F86" s="86">
        <v>196733.28</v>
      </c>
      <c r="G86" s="103">
        <v>33.44</v>
      </c>
      <c r="H86" s="103">
        <v>33.44</v>
      </c>
      <c r="I86" s="155">
        <f t="shared" si="1"/>
        <v>6578760.883</v>
      </c>
      <c r="J86" s="79">
        <f t="shared" si="19"/>
        <v>65787.60883</v>
      </c>
      <c r="K86" s="79"/>
      <c r="L86" s="79"/>
      <c r="M86" s="81">
        <f>ROUND(IF(H86&gt;31,31,H86)*52.47%*F86,-3)</f>
        <v>3200000</v>
      </c>
      <c r="N86" s="185">
        <f t="shared" si="21"/>
        <v>3112973.274</v>
      </c>
      <c r="O86" s="307">
        <f t="shared" si="34"/>
        <v>0.10032</v>
      </c>
      <c r="P86" s="95">
        <f t="shared" si="35"/>
        <v>0</v>
      </c>
      <c r="Q86" s="95">
        <f t="shared" si="36"/>
        <v>0</v>
      </c>
      <c r="R86" s="95">
        <f t="shared" si="37"/>
        <v>0</v>
      </c>
      <c r="S86" s="71" t="s">
        <v>91</v>
      </c>
      <c r="T86" s="166">
        <v>50000.0</v>
      </c>
      <c r="U86" s="99">
        <f>2*T86</f>
        <v>100000</v>
      </c>
      <c r="V86" s="84" t="s">
        <v>1364</v>
      </c>
      <c r="W86" s="85">
        <v>0.0</v>
      </c>
      <c r="X86" s="86" t="s">
        <v>91</v>
      </c>
      <c r="Y86" s="86"/>
      <c r="Z86" s="86"/>
      <c r="AA86" s="187">
        <v>100000.0</v>
      </c>
      <c r="AB86" s="136" t="s">
        <v>1383</v>
      </c>
      <c r="AC86" s="234"/>
      <c r="AD86" s="234"/>
      <c r="AE86" s="234"/>
      <c r="AF86" s="92"/>
      <c r="AG86" s="92"/>
    </row>
    <row r="87">
      <c r="A87" s="183">
        <v>85.0</v>
      </c>
      <c r="B87" s="164">
        <v>46119.0</v>
      </c>
      <c r="C87" s="164">
        <v>46124.0</v>
      </c>
      <c r="D87" s="165" t="s">
        <v>89</v>
      </c>
      <c r="E87" s="165" t="s">
        <v>397</v>
      </c>
      <c r="F87" s="86">
        <v>190080.0</v>
      </c>
      <c r="G87" s="103">
        <v>35.48</v>
      </c>
      <c r="H87" s="103">
        <v>35.48</v>
      </c>
      <c r="I87" s="287">
        <f t="shared" si="1"/>
        <v>6744038.4</v>
      </c>
      <c r="J87" s="79">
        <f t="shared" si="19"/>
        <v>67440.384</v>
      </c>
      <c r="K87" s="79"/>
      <c r="L87" s="389"/>
      <c r="M87" s="81">
        <f>ROUND(IF(H87&gt;31,31,H87)*47.5182%*F87,-3)</f>
        <v>2800000</v>
      </c>
      <c r="N87" s="185">
        <f t="shared" si="21"/>
        <v>3576598.016</v>
      </c>
      <c r="O87" s="391">
        <f t="shared" si="34"/>
        <v>0.10644</v>
      </c>
      <c r="P87" s="95">
        <f t="shared" si="35"/>
        <v>0</v>
      </c>
      <c r="Q87" s="95">
        <f t="shared" si="36"/>
        <v>0</v>
      </c>
      <c r="R87" s="95">
        <f t="shared" si="37"/>
        <v>0</v>
      </c>
      <c r="S87" s="71" t="s">
        <v>91</v>
      </c>
      <c r="T87" s="166">
        <v>50000.0</v>
      </c>
      <c r="U87" s="99">
        <f>4*T87</f>
        <v>200000</v>
      </c>
      <c r="V87" s="84" t="s">
        <v>1364</v>
      </c>
      <c r="W87" s="85">
        <v>0.0</v>
      </c>
      <c r="X87" s="86" t="s">
        <v>91</v>
      </c>
      <c r="Y87" s="392">
        <v>100000.0</v>
      </c>
      <c r="Z87" s="136" t="s">
        <v>1392</v>
      </c>
      <c r="AA87" s="85">
        <v>100000.0</v>
      </c>
      <c r="AB87" s="136" t="s">
        <v>1395</v>
      </c>
      <c r="AC87" s="235"/>
      <c r="AD87" s="235"/>
      <c r="AE87" s="285" t="s">
        <v>1399</v>
      </c>
      <c r="AF87" s="208"/>
      <c r="AG87" s="92"/>
    </row>
    <row r="88">
      <c r="A88" s="183">
        <v>86.0</v>
      </c>
      <c r="B88" s="164">
        <v>46127.0</v>
      </c>
      <c r="C88" s="164">
        <v>46128.0</v>
      </c>
      <c r="D88" s="165" t="s">
        <v>130</v>
      </c>
      <c r="E88" s="165" t="s">
        <v>1403</v>
      </c>
      <c r="F88" s="86">
        <v>126386.0</v>
      </c>
      <c r="G88" s="103">
        <v>34.84</v>
      </c>
      <c r="H88" s="103">
        <v>34.84</v>
      </c>
      <c r="I88" s="287">
        <f t="shared" si="1"/>
        <v>4403288.24</v>
      </c>
      <c r="J88" s="79">
        <f t="shared" si="19"/>
        <v>44032.8824</v>
      </c>
      <c r="K88" s="79"/>
      <c r="L88" s="79"/>
      <c r="M88" s="81">
        <f>ROUND(IF(H88&gt;31,31,H88)*57.42%*F88,-3)</f>
        <v>2250000</v>
      </c>
      <c r="N88" s="185">
        <f t="shared" si="21"/>
        <v>1859255.358</v>
      </c>
      <c r="O88" s="391">
        <f t="shared" si="34"/>
        <v>0.10452</v>
      </c>
      <c r="P88" s="95">
        <f t="shared" si="35"/>
        <v>0</v>
      </c>
      <c r="Q88" s="95">
        <f t="shared" si="36"/>
        <v>0</v>
      </c>
      <c r="R88" s="95">
        <f t="shared" si="37"/>
        <v>0</v>
      </c>
      <c r="S88" s="71" t="s">
        <v>91</v>
      </c>
      <c r="T88" s="166">
        <v>50000.0</v>
      </c>
      <c r="U88" s="99">
        <f>3*T88</f>
        <v>150000</v>
      </c>
      <c r="V88" s="84" t="s">
        <v>1364</v>
      </c>
      <c r="W88" s="85">
        <v>0.0</v>
      </c>
      <c r="X88" s="86" t="s">
        <v>91</v>
      </c>
      <c r="Y88" s="392">
        <v>100000.0</v>
      </c>
      <c r="Z88" s="136" t="s">
        <v>1408</v>
      </c>
      <c r="AA88" s="85">
        <v>100000.0</v>
      </c>
      <c r="AB88" s="136" t="s">
        <v>1409</v>
      </c>
      <c r="AC88" s="235"/>
      <c r="AD88" s="235"/>
      <c r="AE88" s="285" t="s">
        <v>1399</v>
      </c>
      <c r="AF88" s="208"/>
      <c r="AG88" s="92"/>
    </row>
    <row r="89">
      <c r="A89" s="183">
        <v>87.0</v>
      </c>
      <c r="B89" s="164">
        <v>46128.0</v>
      </c>
      <c r="C89" s="164">
        <v>46130.0</v>
      </c>
      <c r="D89" s="152" t="s">
        <v>54</v>
      </c>
      <c r="E89" s="154" t="s">
        <v>565</v>
      </c>
      <c r="F89" s="86">
        <v>116554.0</v>
      </c>
      <c r="G89" s="103">
        <v>33.84</v>
      </c>
      <c r="H89" s="103">
        <v>33.72</v>
      </c>
      <c r="I89" s="287">
        <f t="shared" si="1"/>
        <v>3930200.88</v>
      </c>
      <c r="J89" s="79">
        <f t="shared" si="19"/>
        <v>39302.0088</v>
      </c>
      <c r="K89" s="79"/>
      <c r="L89" s="79"/>
      <c r="M89" s="81">
        <f>ROUND(IF(H89&gt;31,31,H89)*52.58552%*F89,-3)</f>
        <v>1900000</v>
      </c>
      <c r="N89" s="185">
        <f t="shared" si="21"/>
        <v>1820898.871</v>
      </c>
      <c r="O89" s="391">
        <f t="shared" si="34"/>
        <v>0.10152</v>
      </c>
      <c r="P89" s="308">
        <f t="shared" si="35"/>
        <v>0.12</v>
      </c>
      <c r="Q89" s="308">
        <f t="shared" si="36"/>
        <v>18480</v>
      </c>
      <c r="R89" s="308">
        <f t="shared" si="37"/>
        <v>9240</v>
      </c>
      <c r="S89" s="309">
        <v>46188.0</v>
      </c>
      <c r="T89" s="166">
        <v>35000.0</v>
      </c>
      <c r="U89" s="99">
        <f>2*T89</f>
        <v>70000</v>
      </c>
      <c r="V89" s="84" t="s">
        <v>1364</v>
      </c>
      <c r="W89" s="85">
        <v>0.0</v>
      </c>
      <c r="X89" s="86" t="s">
        <v>91</v>
      </c>
      <c r="Y89" s="392">
        <v>100000.0</v>
      </c>
      <c r="Z89" s="136" t="s">
        <v>1418</v>
      </c>
      <c r="AA89" s="85">
        <v>100000.0</v>
      </c>
      <c r="AB89" s="136" t="s">
        <v>1419</v>
      </c>
      <c r="AC89" s="235"/>
      <c r="AD89" s="235"/>
      <c r="AE89" s="221" t="s">
        <v>1420</v>
      </c>
      <c r="AF89" s="92"/>
      <c r="AG89" s="92"/>
    </row>
    <row r="90">
      <c r="A90" s="214">
        <v>88.0</v>
      </c>
      <c r="B90" s="164">
        <v>46130.0</v>
      </c>
      <c r="C90" s="164">
        <v>46134.0</v>
      </c>
      <c r="D90" s="165" t="s">
        <v>352</v>
      </c>
      <c r="E90" s="165" t="s">
        <v>1317</v>
      </c>
      <c r="F90" s="86">
        <v>196733.28</v>
      </c>
      <c r="G90" s="103">
        <v>34.58</v>
      </c>
      <c r="H90" s="103">
        <v>34.58</v>
      </c>
      <c r="I90" s="287">
        <f t="shared" si="1"/>
        <v>6803036.822</v>
      </c>
      <c r="J90" s="79">
        <f t="shared" si="19"/>
        <v>68030.36822</v>
      </c>
      <c r="K90" s="79"/>
      <c r="L90" s="79"/>
      <c r="M90" s="81">
        <f>ROUND(IF(H90&gt;31,31,H90)*52.47%*F90,-3)</f>
        <v>3200000</v>
      </c>
      <c r="N90" s="185">
        <f t="shared" si="21"/>
        <v>3185006.454</v>
      </c>
      <c r="O90" s="391">
        <f t="shared" si="34"/>
        <v>0.10374</v>
      </c>
      <c r="P90" s="95">
        <f t="shared" si="35"/>
        <v>0</v>
      </c>
      <c r="Q90" s="95">
        <f t="shared" si="36"/>
        <v>0</v>
      </c>
      <c r="R90" s="95">
        <f t="shared" si="37"/>
        <v>0</v>
      </c>
      <c r="S90" s="71" t="s">
        <v>91</v>
      </c>
      <c r="T90" s="166">
        <v>50000.0</v>
      </c>
      <c r="U90" s="99">
        <f>3*T90</f>
        <v>150000</v>
      </c>
      <c r="V90" s="84" t="s">
        <v>1364</v>
      </c>
      <c r="W90" s="85">
        <v>100000.0</v>
      </c>
      <c r="X90" s="84" t="s">
        <v>1428</v>
      </c>
      <c r="Y90" s="392">
        <v>100000.0</v>
      </c>
      <c r="Z90" s="136" t="s">
        <v>1429</v>
      </c>
      <c r="AA90" s="85">
        <v>100000.0</v>
      </c>
      <c r="AB90" s="136" t="s">
        <v>1430</v>
      </c>
      <c r="AC90" s="234"/>
      <c r="AD90" s="234"/>
      <c r="AE90" s="234"/>
      <c r="AF90" s="92"/>
      <c r="AG90" s="92"/>
    </row>
    <row r="91">
      <c r="A91" s="214">
        <v>89.0</v>
      </c>
      <c r="B91" s="164">
        <v>46135.0</v>
      </c>
      <c r="C91" s="164">
        <v>46138.0</v>
      </c>
      <c r="D91" s="165" t="s">
        <v>99</v>
      </c>
      <c r="E91" s="165" t="s">
        <v>1431</v>
      </c>
      <c r="F91" s="86">
        <v>166925.0</v>
      </c>
      <c r="G91" s="103">
        <v>33.56</v>
      </c>
      <c r="H91" s="103">
        <v>33.34</v>
      </c>
      <c r="I91" s="96">
        <f t="shared" si="1"/>
        <v>5565279.5</v>
      </c>
      <c r="J91" s="405">
        <f t="shared" si="19"/>
        <v>55652.795</v>
      </c>
      <c r="K91" s="405"/>
      <c r="L91" s="405"/>
      <c r="M91" s="408">
        <f>ROUND(IF(H91&gt;31,31,H91)*56.04224%*F91,-3)</f>
        <v>2900000</v>
      </c>
      <c r="N91" s="185">
        <f t="shared" si="21"/>
        <v>2359626.705</v>
      </c>
      <c r="O91" s="391">
        <f t="shared" si="34"/>
        <v>0.10068</v>
      </c>
      <c r="P91" s="308">
        <f t="shared" si="35"/>
        <v>0.22</v>
      </c>
      <c r="Q91" s="308">
        <f t="shared" si="36"/>
        <v>119320</v>
      </c>
      <c r="R91" s="308">
        <f t="shared" si="37"/>
        <v>59660</v>
      </c>
      <c r="S91" s="309">
        <v>46188.0</v>
      </c>
      <c r="T91" s="166">
        <v>50000.0</v>
      </c>
      <c r="U91" s="99">
        <f>2*T91</f>
        <v>100000</v>
      </c>
      <c r="V91" s="84" t="s">
        <v>1364</v>
      </c>
      <c r="W91" s="85">
        <v>50000.0</v>
      </c>
      <c r="X91" s="84" t="s">
        <v>1439</v>
      </c>
      <c r="Y91" s="392">
        <v>100000.0</v>
      </c>
      <c r="Z91" s="136" t="s">
        <v>1440</v>
      </c>
      <c r="AA91" s="85">
        <v>100000.0</v>
      </c>
      <c r="AB91" s="136" t="s">
        <v>1441</v>
      </c>
      <c r="AC91" s="234"/>
      <c r="AD91" s="234"/>
      <c r="AE91" s="221" t="s">
        <v>1443</v>
      </c>
      <c r="AF91" s="92"/>
      <c r="AG91" s="92"/>
    </row>
    <row r="92">
      <c r="A92" s="183">
        <v>90.0</v>
      </c>
      <c r="B92" s="164">
        <v>46139.0</v>
      </c>
      <c r="C92" s="164">
        <v>46140.0</v>
      </c>
      <c r="D92" s="165" t="s">
        <v>89</v>
      </c>
      <c r="E92" s="165" t="s">
        <v>1445</v>
      </c>
      <c r="F92" s="86">
        <v>190080.0</v>
      </c>
      <c r="G92" s="103">
        <v>32.76</v>
      </c>
      <c r="H92" s="103">
        <v>32.68</v>
      </c>
      <c r="I92" s="96">
        <f t="shared" si="1"/>
        <v>6211814.4</v>
      </c>
      <c r="J92" s="96">
        <f t="shared" si="19"/>
        <v>62118.144</v>
      </c>
      <c r="K92" s="96"/>
      <c r="L92" s="96"/>
      <c r="M92" s="95">
        <f t="shared" ref="M92:M93" si="44">ROUND(IF(H92&gt;31,31,H92)*47.5182%*F92,-3)</f>
        <v>2800000</v>
      </c>
      <c r="N92" s="185">
        <f t="shared" si="21"/>
        <v>3199696.256</v>
      </c>
      <c r="O92" s="391">
        <f t="shared" si="34"/>
        <v>0.09828</v>
      </c>
      <c r="P92" s="95">
        <f t="shared" si="35"/>
        <v>0.08</v>
      </c>
      <c r="Q92" s="95">
        <f t="shared" si="36"/>
        <v>0</v>
      </c>
      <c r="R92" s="95">
        <f t="shared" si="37"/>
        <v>0</v>
      </c>
      <c r="S92" s="71" t="s">
        <v>91</v>
      </c>
      <c r="T92" s="166">
        <v>50000.0</v>
      </c>
      <c r="U92" s="99">
        <f>1*T92</f>
        <v>50000</v>
      </c>
      <c r="V92" s="84" t="s">
        <v>1364</v>
      </c>
      <c r="W92" s="85">
        <v>0.0</v>
      </c>
      <c r="X92" s="86" t="s">
        <v>91</v>
      </c>
      <c r="Y92" s="392">
        <v>100000.0</v>
      </c>
      <c r="Z92" s="136" t="s">
        <v>1454</v>
      </c>
      <c r="AA92" s="85">
        <v>100000.0</v>
      </c>
      <c r="AB92" s="136" t="s">
        <v>1456</v>
      </c>
      <c r="AC92" s="235"/>
      <c r="AD92" s="235"/>
      <c r="AE92" s="285" t="s">
        <v>1399</v>
      </c>
      <c r="AF92" s="208"/>
      <c r="AG92" s="92"/>
    </row>
    <row r="93">
      <c r="A93" s="183">
        <v>91.0</v>
      </c>
      <c r="B93" s="164">
        <v>46141.0</v>
      </c>
      <c r="C93" s="164">
        <v>46143.0</v>
      </c>
      <c r="D93" s="165" t="s">
        <v>89</v>
      </c>
      <c r="E93" s="165" t="s">
        <v>397</v>
      </c>
      <c r="F93" s="86">
        <v>190080.0</v>
      </c>
      <c r="G93" s="103">
        <v>34.5</v>
      </c>
      <c r="H93" s="103">
        <v>34.26</v>
      </c>
      <c r="I93" s="96">
        <f t="shared" si="1"/>
        <v>6512140.8</v>
      </c>
      <c r="J93" s="96">
        <f t="shared" si="19"/>
        <v>65121.408</v>
      </c>
      <c r="K93" s="96"/>
      <c r="L93" s="96"/>
      <c r="M93" s="95">
        <f t="shared" si="44"/>
        <v>2800000</v>
      </c>
      <c r="N93" s="185">
        <f t="shared" si="21"/>
        <v>3347019.392</v>
      </c>
      <c r="O93" s="391">
        <f t="shared" si="34"/>
        <v>0.1035</v>
      </c>
      <c r="P93" s="308">
        <f t="shared" si="35"/>
        <v>0.24</v>
      </c>
      <c r="Q93" s="308">
        <f t="shared" si="36"/>
        <v>136500</v>
      </c>
      <c r="R93" s="308">
        <f t="shared" si="37"/>
        <v>68250</v>
      </c>
      <c r="S93" s="309">
        <v>46188.0</v>
      </c>
      <c r="T93" s="166">
        <v>50000.0</v>
      </c>
      <c r="U93" s="99">
        <f t="shared" ref="U93:U95" si="45">3*T93</f>
        <v>150000</v>
      </c>
      <c r="V93" s="84" t="s">
        <v>1364</v>
      </c>
      <c r="W93" s="85">
        <v>50000.0</v>
      </c>
      <c r="X93" s="313" t="s">
        <v>1464</v>
      </c>
      <c r="Y93" s="392">
        <v>100000.0</v>
      </c>
      <c r="Z93" s="136" t="s">
        <v>1467</v>
      </c>
      <c r="AA93" s="85">
        <v>100000.0</v>
      </c>
      <c r="AB93" s="136" t="s">
        <v>1468</v>
      </c>
      <c r="AC93" s="235"/>
      <c r="AD93" s="235"/>
      <c r="AE93" s="221" t="s">
        <v>1443</v>
      </c>
      <c r="AF93" s="208"/>
      <c r="AG93" s="92"/>
    </row>
    <row r="94">
      <c r="A94" s="214">
        <v>92.0</v>
      </c>
      <c r="B94" s="164">
        <v>46144.0</v>
      </c>
      <c r="C94" s="164">
        <v>46146.0</v>
      </c>
      <c r="D94" s="165" t="s">
        <v>352</v>
      </c>
      <c r="E94" s="165" t="s">
        <v>1317</v>
      </c>
      <c r="F94" s="86">
        <v>196733.28</v>
      </c>
      <c r="G94" s="103">
        <v>34.32</v>
      </c>
      <c r="H94" s="103">
        <v>34.32</v>
      </c>
      <c r="I94" s="96">
        <f t="shared" si="1"/>
        <v>6751886.17</v>
      </c>
      <c r="J94" s="96">
        <f t="shared" si="19"/>
        <v>67518.8617</v>
      </c>
      <c r="K94" s="96"/>
      <c r="L94" s="96"/>
      <c r="M94" s="95">
        <f>ROUND(IF(H94&gt;31,31,H94)*52.47%*F94,-3)</f>
        <v>3200000</v>
      </c>
      <c r="N94" s="185">
        <f t="shared" si="21"/>
        <v>3234367.308</v>
      </c>
      <c r="O94" s="391">
        <f t="shared" si="34"/>
        <v>0.10296</v>
      </c>
      <c r="P94" s="95">
        <f t="shared" si="35"/>
        <v>0</v>
      </c>
      <c r="Q94" s="95">
        <f t="shared" si="36"/>
        <v>0</v>
      </c>
      <c r="R94" s="95">
        <f t="shared" si="37"/>
        <v>0</v>
      </c>
      <c r="S94" s="71" t="s">
        <v>91</v>
      </c>
      <c r="T94" s="166">
        <v>50000.0</v>
      </c>
      <c r="U94" s="99">
        <f t="shared" si="45"/>
        <v>150000</v>
      </c>
      <c r="V94" s="84" t="s">
        <v>1364</v>
      </c>
      <c r="W94" s="85">
        <v>0.0</v>
      </c>
      <c r="X94" s="86" t="s">
        <v>91</v>
      </c>
      <c r="Y94" s="392">
        <v>100000.0</v>
      </c>
      <c r="Z94" s="136" t="s">
        <v>1471</v>
      </c>
      <c r="AA94" s="85">
        <v>100000.0</v>
      </c>
      <c r="AB94" s="136" t="s">
        <v>1472</v>
      </c>
      <c r="AC94" s="234"/>
      <c r="AD94" s="234"/>
      <c r="AE94" s="234"/>
      <c r="AF94" s="92"/>
      <c r="AG94" s="92"/>
    </row>
    <row r="95">
      <c r="A95" s="183">
        <v>93.0</v>
      </c>
      <c r="B95" s="164">
        <v>46147.0</v>
      </c>
      <c r="C95" s="164">
        <v>46150.0</v>
      </c>
      <c r="D95" s="165" t="s">
        <v>89</v>
      </c>
      <c r="E95" s="165" t="s">
        <v>397</v>
      </c>
      <c r="F95" s="86">
        <v>190080.0</v>
      </c>
      <c r="G95" s="103">
        <v>34.58</v>
      </c>
      <c r="H95" s="103">
        <v>34.58</v>
      </c>
      <c r="I95" s="96">
        <f t="shared" si="1"/>
        <v>6572966.4</v>
      </c>
      <c r="J95" s="96">
        <f t="shared" si="19"/>
        <v>65729.664</v>
      </c>
      <c r="K95" s="96"/>
      <c r="L95" s="96"/>
      <c r="M95" s="95">
        <f>ROUND(IF(H95&gt;31,31,H95)*47.5182%*F95,-3)</f>
        <v>2800000</v>
      </c>
      <c r="N95" s="185">
        <f t="shared" si="21"/>
        <v>3407236.736</v>
      </c>
      <c r="O95" s="391">
        <f t="shared" si="34"/>
        <v>0.10374</v>
      </c>
      <c r="P95" s="95">
        <f t="shared" si="35"/>
        <v>0</v>
      </c>
      <c r="Q95" s="95">
        <f t="shared" si="36"/>
        <v>0</v>
      </c>
      <c r="R95" s="95">
        <f t="shared" si="37"/>
        <v>0</v>
      </c>
      <c r="S95" s="71" t="s">
        <v>91</v>
      </c>
      <c r="T95" s="166">
        <v>50000.0</v>
      </c>
      <c r="U95" s="99">
        <f t="shared" si="45"/>
        <v>150000</v>
      </c>
      <c r="V95" s="84" t="s">
        <v>1364</v>
      </c>
      <c r="W95" s="85">
        <v>50000.0</v>
      </c>
      <c r="X95" s="313" t="s">
        <v>1482</v>
      </c>
      <c r="Y95" s="392">
        <v>100000.0</v>
      </c>
      <c r="Z95" s="136" t="s">
        <v>1484</v>
      </c>
      <c r="AA95" s="85">
        <v>100000.0</v>
      </c>
      <c r="AB95" s="136" t="s">
        <v>1486</v>
      </c>
      <c r="AC95" s="235"/>
      <c r="AD95" s="235"/>
      <c r="AE95" s="285" t="s">
        <v>1489</v>
      </c>
      <c r="AF95" s="208"/>
      <c r="AG95" s="92"/>
    </row>
    <row r="96">
      <c r="A96" s="214">
        <v>94.0</v>
      </c>
      <c r="B96" s="164">
        <v>46151.0</v>
      </c>
      <c r="C96" s="164">
        <v>46152.0</v>
      </c>
      <c r="D96" s="165" t="s">
        <v>352</v>
      </c>
      <c r="E96" s="165" t="s">
        <v>1317</v>
      </c>
      <c r="F96" s="86">
        <v>196733.28</v>
      </c>
      <c r="G96" s="103">
        <v>35.52</v>
      </c>
      <c r="H96" s="103">
        <v>35.5</v>
      </c>
      <c r="I96" s="96">
        <f t="shared" si="1"/>
        <v>6984031.44</v>
      </c>
      <c r="J96" s="96">
        <f t="shared" si="19"/>
        <v>69840.3144</v>
      </c>
      <c r="K96" s="96"/>
      <c r="L96" s="96"/>
      <c r="M96" s="95">
        <f t="shared" ref="M96:M100" si="46">ROUND(IF(H96&gt;31,31,H96)*52.47%*F96,-3)</f>
        <v>3200000</v>
      </c>
      <c r="N96" s="185">
        <f t="shared" si="21"/>
        <v>3414191.126</v>
      </c>
      <c r="O96" s="391">
        <f t="shared" si="34"/>
        <v>0.10656</v>
      </c>
      <c r="P96" s="95">
        <f t="shared" si="35"/>
        <v>0.02</v>
      </c>
      <c r="Q96" s="95">
        <f t="shared" si="36"/>
        <v>0</v>
      </c>
      <c r="R96" s="95">
        <f t="shared" si="37"/>
        <v>0</v>
      </c>
      <c r="S96" s="71" t="s">
        <v>91</v>
      </c>
      <c r="T96" s="166">
        <v>50000.0</v>
      </c>
      <c r="U96" s="99">
        <f>4*T96</f>
        <v>200000</v>
      </c>
      <c r="V96" s="84" t="s">
        <v>1364</v>
      </c>
      <c r="W96" s="85">
        <v>0.0</v>
      </c>
      <c r="X96" s="86" t="s">
        <v>91</v>
      </c>
      <c r="Y96" s="392">
        <v>100000.0</v>
      </c>
      <c r="Z96" s="136" t="s">
        <v>1501</v>
      </c>
      <c r="AA96" s="85">
        <v>100000.0</v>
      </c>
      <c r="AB96" s="136" t="s">
        <v>1502</v>
      </c>
      <c r="AC96" s="234"/>
      <c r="AD96" s="234"/>
      <c r="AE96" s="221" t="s">
        <v>1504</v>
      </c>
      <c r="AF96" s="92"/>
      <c r="AG96" s="92"/>
    </row>
    <row r="97">
      <c r="A97" s="214">
        <v>95.0</v>
      </c>
      <c r="B97" s="164">
        <v>46154.0</v>
      </c>
      <c r="C97" s="164">
        <v>46156.0</v>
      </c>
      <c r="D97" s="165" t="s">
        <v>352</v>
      </c>
      <c r="E97" s="165" t="s">
        <v>1317</v>
      </c>
      <c r="F97" s="86">
        <v>196733.28</v>
      </c>
      <c r="G97" s="103">
        <v>33.14</v>
      </c>
      <c r="H97" s="103">
        <v>33.13</v>
      </c>
      <c r="I97" s="96">
        <f t="shared" si="1"/>
        <v>6517773.566</v>
      </c>
      <c r="J97" s="96">
        <f t="shared" si="19"/>
        <v>65177.73566</v>
      </c>
      <c r="K97" s="96"/>
      <c r="L97" s="96"/>
      <c r="M97" s="95">
        <f t="shared" si="46"/>
        <v>3200000</v>
      </c>
      <c r="N97" s="185">
        <f t="shared" si="21"/>
        <v>3052595.831</v>
      </c>
      <c r="O97" s="391">
        <f t="shared" si="34"/>
        <v>0.09942</v>
      </c>
      <c r="P97" s="95">
        <f t="shared" si="35"/>
        <v>0.01</v>
      </c>
      <c r="Q97" s="95">
        <f t="shared" si="36"/>
        <v>0</v>
      </c>
      <c r="R97" s="95">
        <f t="shared" si="37"/>
        <v>0</v>
      </c>
      <c r="S97" s="71" t="s">
        <v>91</v>
      </c>
      <c r="T97" s="166">
        <v>50000.0</v>
      </c>
      <c r="U97" s="99">
        <f t="shared" ref="U97:U98" si="47">2*T97</f>
        <v>100000</v>
      </c>
      <c r="V97" s="84" t="s">
        <v>1364</v>
      </c>
      <c r="W97" s="85">
        <v>0.0</v>
      </c>
      <c r="X97" s="86" t="s">
        <v>91</v>
      </c>
      <c r="Y97" s="85" t="s">
        <v>91</v>
      </c>
      <c r="Z97" s="85" t="s">
        <v>91</v>
      </c>
      <c r="AA97" s="85">
        <v>100000.0</v>
      </c>
      <c r="AB97" s="136" t="s">
        <v>1511</v>
      </c>
      <c r="AC97" s="234"/>
      <c r="AD97" s="234"/>
      <c r="AE97" s="221" t="s">
        <v>1512</v>
      </c>
      <c r="AF97" s="92"/>
      <c r="AG97" s="92"/>
    </row>
    <row r="98">
      <c r="A98" s="214">
        <v>96.0</v>
      </c>
      <c r="B98" s="164">
        <v>46157.0</v>
      </c>
      <c r="C98" s="164">
        <v>46161.0</v>
      </c>
      <c r="D98" s="165" t="s">
        <v>352</v>
      </c>
      <c r="E98" s="165" t="s">
        <v>1317</v>
      </c>
      <c r="F98" s="86">
        <v>196733.28</v>
      </c>
      <c r="G98" s="103">
        <v>33.46</v>
      </c>
      <c r="H98" s="103">
        <v>33.46</v>
      </c>
      <c r="I98" s="96">
        <f t="shared" si="1"/>
        <v>6582695.549</v>
      </c>
      <c r="J98" s="96">
        <f t="shared" si="19"/>
        <v>65826.95549</v>
      </c>
      <c r="K98" s="96"/>
      <c r="L98" s="96"/>
      <c r="M98" s="95">
        <f t="shared" si="46"/>
        <v>3200000</v>
      </c>
      <c r="N98" s="185">
        <f t="shared" si="21"/>
        <v>3016868.593</v>
      </c>
      <c r="O98" s="391">
        <f t="shared" si="34"/>
        <v>0.10038</v>
      </c>
      <c r="P98" s="95">
        <f t="shared" si="35"/>
        <v>0</v>
      </c>
      <c r="Q98" s="95">
        <f t="shared" si="36"/>
        <v>0</v>
      </c>
      <c r="R98" s="95">
        <f t="shared" si="37"/>
        <v>0</v>
      </c>
      <c r="S98" s="71" t="s">
        <v>91</v>
      </c>
      <c r="T98" s="166">
        <v>50000.0</v>
      </c>
      <c r="U98" s="99">
        <f t="shared" si="47"/>
        <v>100000</v>
      </c>
      <c r="V98" s="84" t="s">
        <v>1364</v>
      </c>
      <c r="W98" s="85">
        <v>100000.0</v>
      </c>
      <c r="X98" s="313" t="s">
        <v>1517</v>
      </c>
      <c r="Y98" s="85" t="s">
        <v>91</v>
      </c>
      <c r="Z98" s="85" t="s">
        <v>91</v>
      </c>
      <c r="AA98" s="85">
        <v>100000.0</v>
      </c>
      <c r="AB98" s="136" t="s">
        <v>1518</v>
      </c>
      <c r="AC98" s="234"/>
      <c r="AD98" s="234"/>
      <c r="AE98" s="234"/>
      <c r="AF98" s="92"/>
      <c r="AG98" s="92"/>
    </row>
    <row r="99">
      <c r="A99" s="214">
        <v>97.0</v>
      </c>
      <c r="B99" s="164">
        <v>46162.0</v>
      </c>
      <c r="C99" s="164">
        <v>46164.0</v>
      </c>
      <c r="D99" s="165" t="s">
        <v>352</v>
      </c>
      <c r="E99" s="165" t="s">
        <v>1317</v>
      </c>
      <c r="F99" s="86">
        <v>196733.28</v>
      </c>
      <c r="G99" s="103">
        <v>31.24</v>
      </c>
      <c r="H99" s="103">
        <v>31.2</v>
      </c>
      <c r="I99" s="96">
        <f t="shared" si="1"/>
        <v>6138078.336</v>
      </c>
      <c r="J99" s="96">
        <f t="shared" si="19"/>
        <v>61380.78336</v>
      </c>
      <c r="K99" s="96"/>
      <c r="L99" s="96"/>
      <c r="M99" s="95">
        <f t="shared" si="46"/>
        <v>3200000</v>
      </c>
      <c r="N99" s="185">
        <f t="shared" si="21"/>
        <v>2726697.553</v>
      </c>
      <c r="O99" s="391">
        <f t="shared" si="34"/>
        <v>0.09372</v>
      </c>
      <c r="P99" s="95">
        <f t="shared" si="35"/>
        <v>0.04</v>
      </c>
      <c r="Q99" s="95">
        <f t="shared" si="36"/>
        <v>0</v>
      </c>
      <c r="R99" s="95">
        <f t="shared" si="37"/>
        <v>0</v>
      </c>
      <c r="S99" s="71" t="s">
        <v>91</v>
      </c>
      <c r="T99" s="166">
        <v>50000.0</v>
      </c>
      <c r="U99" s="99">
        <f>0*T99</f>
        <v>0</v>
      </c>
      <c r="V99" s="84" t="s">
        <v>1364</v>
      </c>
      <c r="W99" s="85">
        <v>50000.0</v>
      </c>
      <c r="X99" s="313" t="s">
        <v>1525</v>
      </c>
      <c r="Y99" s="85" t="s">
        <v>91</v>
      </c>
      <c r="Z99" s="85" t="s">
        <v>91</v>
      </c>
      <c r="AA99" s="85">
        <v>100000.0</v>
      </c>
      <c r="AB99" s="136" t="s">
        <v>1526</v>
      </c>
      <c r="AC99" s="234"/>
      <c r="AD99" s="234"/>
      <c r="AE99" s="221" t="s">
        <v>1527</v>
      </c>
      <c r="AF99" s="92"/>
      <c r="AG99" s="92"/>
    </row>
    <row r="100">
      <c r="A100" s="214">
        <v>98.0</v>
      </c>
      <c r="B100" s="164">
        <v>46165.0</v>
      </c>
      <c r="C100" s="164">
        <v>46168.0</v>
      </c>
      <c r="D100" s="165" t="s">
        <v>352</v>
      </c>
      <c r="E100" s="165" t="s">
        <v>1317</v>
      </c>
      <c r="F100" s="86">
        <v>196733.28</v>
      </c>
      <c r="G100" s="103">
        <v>35.98</v>
      </c>
      <c r="H100" s="103">
        <v>35.87</v>
      </c>
      <c r="I100" s="96">
        <f t="shared" si="1"/>
        <v>7056822.754</v>
      </c>
      <c r="J100" s="96">
        <f t="shared" si="19"/>
        <v>70568.22754</v>
      </c>
      <c r="K100" s="96"/>
      <c r="L100" s="96"/>
      <c r="M100" s="95">
        <f t="shared" si="46"/>
        <v>3200000</v>
      </c>
      <c r="N100" s="185">
        <f t="shared" si="21"/>
        <v>3386254.526</v>
      </c>
      <c r="O100" s="391">
        <f t="shared" si="34"/>
        <v>0.10794</v>
      </c>
      <c r="P100" s="308">
        <f t="shared" si="35"/>
        <v>0.11</v>
      </c>
      <c r="Q100" s="308">
        <f t="shared" si="36"/>
        <v>2060</v>
      </c>
      <c r="R100" s="308">
        <f t="shared" si="37"/>
        <v>1030</v>
      </c>
      <c r="S100" s="309">
        <v>46188.0</v>
      </c>
      <c r="T100" s="166">
        <v>50000.0</v>
      </c>
      <c r="U100" s="99">
        <f>5*T100</f>
        <v>250000</v>
      </c>
      <c r="V100" s="84" t="s">
        <v>1364</v>
      </c>
      <c r="W100" s="85">
        <v>50000.0</v>
      </c>
      <c r="X100" s="313" t="s">
        <v>1538</v>
      </c>
      <c r="Y100" s="392">
        <v>100000.0</v>
      </c>
      <c r="Z100" s="136" t="s">
        <v>1539</v>
      </c>
      <c r="AA100" s="85">
        <v>100000.0</v>
      </c>
      <c r="AB100" s="136" t="s">
        <v>1540</v>
      </c>
      <c r="AC100" s="234"/>
      <c r="AD100" s="234"/>
      <c r="AE100" s="221" t="s">
        <v>1541</v>
      </c>
      <c r="AF100" s="92"/>
      <c r="AG100" s="92"/>
    </row>
    <row r="101">
      <c r="A101" s="183">
        <v>99.0</v>
      </c>
      <c r="B101" s="164">
        <v>46173.0</v>
      </c>
      <c r="C101" s="164">
        <v>46175.0</v>
      </c>
      <c r="D101" s="165" t="s">
        <v>89</v>
      </c>
      <c r="E101" s="165" t="s">
        <v>1445</v>
      </c>
      <c r="F101" s="86">
        <v>190080.0</v>
      </c>
      <c r="G101" s="103">
        <v>34.46</v>
      </c>
      <c r="H101" s="103">
        <v>34.07</v>
      </c>
      <c r="I101" s="96">
        <f t="shared" si="1"/>
        <v>6476025.6</v>
      </c>
      <c r="J101" s="96">
        <f t="shared" si="19"/>
        <v>64760.256</v>
      </c>
      <c r="K101" s="96"/>
      <c r="L101" s="96"/>
      <c r="M101" s="95">
        <f>ROUND(IF(H101&gt;31,31,H101)*47.5182%*F101,-3)</f>
        <v>2800000</v>
      </c>
      <c r="N101" s="185">
        <f t="shared" ref="N101:N108" si="48">I101-M101-U101-AA101-AC101-W101-J101-R101</f>
        <v>3167955.344</v>
      </c>
      <c r="O101" s="391">
        <f t="shared" si="34"/>
        <v>0.10338</v>
      </c>
      <c r="P101" s="308">
        <f t="shared" si="35"/>
        <v>0.39</v>
      </c>
      <c r="Q101" s="308">
        <f t="shared" si="36"/>
        <v>286620</v>
      </c>
      <c r="R101" s="308">
        <f t="shared" si="37"/>
        <v>143310</v>
      </c>
      <c r="S101" s="309">
        <v>46188.0</v>
      </c>
      <c r="T101" s="166">
        <v>50000.0</v>
      </c>
      <c r="U101" s="99">
        <f>3*T101</f>
        <v>150000</v>
      </c>
      <c r="V101" s="84" t="s">
        <v>1364</v>
      </c>
      <c r="W101" s="85">
        <v>50000.0</v>
      </c>
      <c r="X101" s="313" t="s">
        <v>1558</v>
      </c>
      <c r="Y101" s="392">
        <v>100000.0</v>
      </c>
      <c r="Z101" s="136" t="s">
        <v>1560</v>
      </c>
      <c r="AA101" s="85">
        <v>100000.0</v>
      </c>
      <c r="AB101" s="234" t="s">
        <v>1366</v>
      </c>
      <c r="AC101" s="235"/>
      <c r="AD101" s="235"/>
      <c r="AE101" s="221" t="s">
        <v>1563</v>
      </c>
      <c r="AF101" s="208"/>
      <c r="AG101" s="92"/>
    </row>
    <row r="102">
      <c r="A102" s="183">
        <v>100.0</v>
      </c>
      <c r="B102" s="164">
        <v>46178.0</v>
      </c>
      <c r="C102" s="164">
        <v>46179.0</v>
      </c>
      <c r="D102" s="152" t="s">
        <v>54</v>
      </c>
      <c r="E102" s="154" t="s">
        <v>565</v>
      </c>
      <c r="F102" s="86">
        <v>116554.0</v>
      </c>
      <c r="G102" s="103">
        <v>31.36</v>
      </c>
      <c r="H102" s="103">
        <v>31.15</v>
      </c>
      <c r="I102" s="96">
        <f t="shared" si="1"/>
        <v>3630657.1</v>
      </c>
      <c r="J102" s="96">
        <f t="shared" si="19"/>
        <v>36306.571</v>
      </c>
      <c r="K102" s="96"/>
      <c r="L102" s="96"/>
      <c r="M102" s="95">
        <f t="shared" ref="M102:M103" si="49">ROUND(IF(H102&gt;31,31,H102)*52.58552%*F102,-3)</f>
        <v>1900000</v>
      </c>
      <c r="N102" s="185">
        <f t="shared" si="48"/>
        <v>1536390.529</v>
      </c>
      <c r="O102" s="391">
        <f t="shared" si="34"/>
        <v>0.09408</v>
      </c>
      <c r="P102" s="308">
        <f t="shared" si="35"/>
        <v>0.21</v>
      </c>
      <c r="Q102" s="308">
        <f t="shared" si="36"/>
        <v>115920</v>
      </c>
      <c r="R102" s="308">
        <f t="shared" si="37"/>
        <v>57960</v>
      </c>
      <c r="S102" s="309">
        <v>46188.0</v>
      </c>
      <c r="T102" s="166">
        <v>35000.0</v>
      </c>
      <c r="U102" s="99">
        <f>0*T102</f>
        <v>0</v>
      </c>
      <c r="V102" s="84" t="s">
        <v>1364</v>
      </c>
      <c r="W102" s="85">
        <v>0.0</v>
      </c>
      <c r="X102" s="86" t="s">
        <v>91</v>
      </c>
      <c r="Y102" s="392">
        <v>100000.0</v>
      </c>
      <c r="Z102" s="136" t="s">
        <v>1574</v>
      </c>
      <c r="AA102" s="85">
        <v>100000.0</v>
      </c>
      <c r="AB102" s="234" t="s">
        <v>1366</v>
      </c>
      <c r="AC102" s="235"/>
      <c r="AD102" s="235"/>
      <c r="AE102" s="221" t="s">
        <v>1576</v>
      </c>
      <c r="AF102" s="92"/>
      <c r="AG102" s="92"/>
    </row>
    <row r="103">
      <c r="A103" s="183">
        <v>101.0</v>
      </c>
      <c r="B103" s="164">
        <v>46181.0</v>
      </c>
      <c r="C103" s="164">
        <v>46182.0</v>
      </c>
      <c r="D103" s="152" t="s">
        <v>54</v>
      </c>
      <c r="E103" s="154" t="s">
        <v>565</v>
      </c>
      <c r="F103" s="86">
        <v>116554.0</v>
      </c>
      <c r="G103" s="103">
        <v>33.34</v>
      </c>
      <c r="H103" s="103">
        <v>33.06</v>
      </c>
      <c r="I103" s="96">
        <f t="shared" si="1"/>
        <v>3853275.24</v>
      </c>
      <c r="J103" s="96">
        <f t="shared" si="19"/>
        <v>38532.7524</v>
      </c>
      <c r="K103" s="96"/>
      <c r="L103" s="96"/>
      <c r="M103" s="95">
        <f t="shared" si="49"/>
        <v>1900000</v>
      </c>
      <c r="N103" s="185">
        <f t="shared" si="48"/>
        <v>1654752.488</v>
      </c>
      <c r="O103" s="391">
        <f t="shared" si="34"/>
        <v>0.10002</v>
      </c>
      <c r="P103" s="308">
        <f t="shared" si="35"/>
        <v>0.28</v>
      </c>
      <c r="Q103" s="308">
        <f t="shared" si="36"/>
        <v>179980</v>
      </c>
      <c r="R103" s="308">
        <f t="shared" si="37"/>
        <v>89990</v>
      </c>
      <c r="S103" s="309">
        <v>46188.0</v>
      </c>
      <c r="T103" s="166">
        <v>35000.0</v>
      </c>
      <c r="U103" s="99">
        <f>2*T103</f>
        <v>70000</v>
      </c>
      <c r="V103" s="84" t="s">
        <v>1364</v>
      </c>
      <c r="W103" s="85">
        <v>0.0</v>
      </c>
      <c r="X103" s="86" t="s">
        <v>91</v>
      </c>
      <c r="Y103" s="392" t="s">
        <v>1176</v>
      </c>
      <c r="Z103" s="136" t="s">
        <v>1586</v>
      </c>
      <c r="AA103" s="85">
        <v>100000.0</v>
      </c>
      <c r="AB103" s="234" t="s">
        <v>1366</v>
      </c>
      <c r="AC103" s="235"/>
      <c r="AD103" s="235"/>
      <c r="AE103" s="221" t="s">
        <v>1590</v>
      </c>
      <c r="AF103" s="92"/>
      <c r="AG103" s="92"/>
    </row>
    <row r="104">
      <c r="A104" s="214">
        <v>102.0</v>
      </c>
      <c r="B104" s="164">
        <v>46183.0</v>
      </c>
      <c r="C104" s="164">
        <v>46184.0</v>
      </c>
      <c r="D104" s="236" t="s">
        <v>89</v>
      </c>
      <c r="E104" s="165" t="s">
        <v>530</v>
      </c>
      <c r="F104" s="86">
        <v>190080.0</v>
      </c>
      <c r="G104" s="103">
        <v>35.26</v>
      </c>
      <c r="H104" s="103">
        <v>35.16</v>
      </c>
      <c r="I104" s="155">
        <f t="shared" si="1"/>
        <v>6683212.8</v>
      </c>
      <c r="J104" s="77">
        <f t="shared" si="19"/>
        <v>66832.128</v>
      </c>
      <c r="K104" s="77"/>
      <c r="L104" s="77"/>
      <c r="M104" s="156">
        <f t="shared" ref="M104:M105" si="50">ROUND(IF(H104&gt;31,31,H104)*47.5182%*F104,-3)</f>
        <v>2800000</v>
      </c>
      <c r="N104" s="185">
        <f t="shared" si="48"/>
        <v>3516380.672</v>
      </c>
      <c r="O104" s="307">
        <f t="shared" si="34"/>
        <v>0.10578</v>
      </c>
      <c r="P104" s="95">
        <f t="shared" si="35"/>
        <v>0.1</v>
      </c>
      <c r="Q104" s="95">
        <f t="shared" si="36"/>
        <v>0</v>
      </c>
      <c r="R104" s="95">
        <f t="shared" si="37"/>
        <v>0</v>
      </c>
      <c r="S104" s="71" t="s">
        <v>91</v>
      </c>
      <c r="T104" s="166">
        <v>50000.0</v>
      </c>
      <c r="U104" s="99">
        <f t="shared" ref="U104:U105" si="51">4*T104</f>
        <v>200000</v>
      </c>
      <c r="V104" s="84" t="s">
        <v>1364</v>
      </c>
      <c r="W104" s="85">
        <v>0.0</v>
      </c>
      <c r="X104" s="86" t="s">
        <v>91</v>
      </c>
      <c r="Y104" s="392">
        <v>100000.0</v>
      </c>
      <c r="Z104" s="136" t="s">
        <v>1599</v>
      </c>
      <c r="AA104" s="187">
        <v>100000.0</v>
      </c>
      <c r="AB104" s="234" t="s">
        <v>1366</v>
      </c>
      <c r="AC104" s="235"/>
      <c r="AD104" s="235"/>
      <c r="AE104" s="221" t="s">
        <v>1603</v>
      </c>
      <c r="AF104" s="293">
        <f>33960*0.3%</f>
        <v>101.88</v>
      </c>
      <c r="AG104" s="311">
        <f>170-AF104</f>
        <v>68.12</v>
      </c>
    </row>
    <row r="105">
      <c r="A105" s="183">
        <v>103.0</v>
      </c>
      <c r="B105" s="164">
        <v>46186.0</v>
      </c>
      <c r="C105" s="164">
        <v>46188.0</v>
      </c>
      <c r="D105" s="165" t="s">
        <v>89</v>
      </c>
      <c r="E105" s="165" t="s">
        <v>397</v>
      </c>
      <c r="F105" s="86">
        <v>190080.0</v>
      </c>
      <c r="G105" s="103">
        <v>35.5</v>
      </c>
      <c r="H105" s="103">
        <v>35.49</v>
      </c>
      <c r="I105" s="96">
        <f t="shared" si="1"/>
        <v>6745939.2</v>
      </c>
      <c r="J105" s="96">
        <f t="shared" si="19"/>
        <v>67459.392</v>
      </c>
      <c r="K105" s="96"/>
      <c r="L105" s="96"/>
      <c r="M105" s="95">
        <f t="shared" si="50"/>
        <v>2800000</v>
      </c>
      <c r="N105" s="185">
        <f t="shared" si="48"/>
        <v>3528479.808</v>
      </c>
      <c r="O105" s="391">
        <f t="shared" si="34"/>
        <v>0.1065</v>
      </c>
      <c r="P105" s="95">
        <f t="shared" si="35"/>
        <v>0.01</v>
      </c>
      <c r="Q105" s="95">
        <f t="shared" si="36"/>
        <v>0</v>
      </c>
      <c r="R105" s="95">
        <f t="shared" si="37"/>
        <v>0</v>
      </c>
      <c r="S105" s="71" t="s">
        <v>91</v>
      </c>
      <c r="T105" s="166">
        <v>50000.0</v>
      </c>
      <c r="U105" s="99">
        <f t="shared" si="51"/>
        <v>200000</v>
      </c>
      <c r="V105" s="84" t="s">
        <v>1364</v>
      </c>
      <c r="W105" s="85">
        <v>50000.0</v>
      </c>
      <c r="X105" s="313" t="s">
        <v>1607</v>
      </c>
      <c r="Y105" s="392">
        <v>100000.0</v>
      </c>
      <c r="Z105" s="136" t="s">
        <v>1608</v>
      </c>
      <c r="AA105" s="85">
        <v>100000.0</v>
      </c>
      <c r="AB105" s="234" t="s">
        <v>1366</v>
      </c>
      <c r="AC105" s="235"/>
      <c r="AD105" s="235"/>
      <c r="AE105" s="460" t="s">
        <v>1612</v>
      </c>
      <c r="AF105" s="208"/>
      <c r="AG105" s="92"/>
    </row>
    <row r="106">
      <c r="A106" s="183">
        <v>104.0</v>
      </c>
      <c r="B106" s="164">
        <v>46191.0</v>
      </c>
      <c r="C106" s="164">
        <v>46192.0</v>
      </c>
      <c r="D106" s="152" t="s">
        <v>54</v>
      </c>
      <c r="E106" s="154" t="s">
        <v>565</v>
      </c>
      <c r="F106" s="86">
        <v>116554.0</v>
      </c>
      <c r="G106" s="103">
        <v>31.0</v>
      </c>
      <c r="H106" s="103">
        <v>31.0</v>
      </c>
      <c r="I106" s="96">
        <f t="shared" si="1"/>
        <v>3613174</v>
      </c>
      <c r="J106" s="96">
        <f t="shared" si="19"/>
        <v>36131.74</v>
      </c>
      <c r="K106" s="96"/>
      <c r="L106" s="96"/>
      <c r="M106" s="95">
        <f>ROUND(IF(H106&gt;31,31,H106)*52.58552%*F106,-3)</f>
        <v>1900000</v>
      </c>
      <c r="N106" s="185">
        <f t="shared" si="48"/>
        <v>1577042.26</v>
      </c>
      <c r="O106" s="391">
        <f t="shared" si="34"/>
        <v>0.093</v>
      </c>
      <c r="P106" s="95">
        <f t="shared" si="35"/>
        <v>0</v>
      </c>
      <c r="Q106" s="95">
        <f t="shared" si="36"/>
        <v>0</v>
      </c>
      <c r="R106" s="95">
        <f t="shared" si="37"/>
        <v>0</v>
      </c>
      <c r="S106" s="71" t="s">
        <v>91</v>
      </c>
      <c r="T106" s="166">
        <v>35000.0</v>
      </c>
      <c r="U106" s="99">
        <f>0*T106</f>
        <v>0</v>
      </c>
      <c r="V106" s="84" t="s">
        <v>1627</v>
      </c>
      <c r="W106" s="85">
        <v>0.0</v>
      </c>
      <c r="X106" s="86" t="s">
        <v>91</v>
      </c>
      <c r="Y106" s="392">
        <v>100000.0</v>
      </c>
      <c r="Z106" s="136" t="s">
        <v>1628</v>
      </c>
      <c r="AA106" s="85">
        <v>100000.0</v>
      </c>
      <c r="AB106" s="234" t="s">
        <v>1366</v>
      </c>
      <c r="AC106" s="235"/>
      <c r="AD106" s="235"/>
      <c r="AE106" s="285" t="s">
        <v>1629</v>
      </c>
      <c r="AF106" s="92"/>
      <c r="AG106" s="92"/>
    </row>
    <row r="107">
      <c r="A107" s="183">
        <v>105.0</v>
      </c>
      <c r="B107" s="164">
        <v>46197.0</v>
      </c>
      <c r="C107" s="164">
        <v>46199.0</v>
      </c>
      <c r="D107" s="165" t="s">
        <v>89</v>
      </c>
      <c r="E107" s="165" t="s">
        <v>1445</v>
      </c>
      <c r="F107" s="86">
        <v>190080.0</v>
      </c>
      <c r="G107" s="103">
        <v>34.92</v>
      </c>
      <c r="H107" s="103">
        <v>34.6</v>
      </c>
      <c r="I107" s="96">
        <f t="shared" si="1"/>
        <v>6576768</v>
      </c>
      <c r="J107" s="96">
        <f t="shared" si="19"/>
        <v>65767.68</v>
      </c>
      <c r="K107" s="96"/>
      <c r="L107" s="96"/>
      <c r="M107" s="95">
        <f>ROUND(IF(H107&gt;31,31,H107)*47.5182%*F107,-3)</f>
        <v>2800000</v>
      </c>
      <c r="N107" s="185">
        <f t="shared" si="48"/>
        <v>3303380.32</v>
      </c>
      <c r="O107" s="391">
        <f t="shared" si="34"/>
        <v>0.10476</v>
      </c>
      <c r="P107" s="308">
        <f t="shared" si="35"/>
        <v>0.32</v>
      </c>
      <c r="Q107" s="308">
        <f t="shared" si="36"/>
        <v>215240</v>
      </c>
      <c r="R107" s="308">
        <f t="shared" si="37"/>
        <v>107620</v>
      </c>
      <c r="S107" s="309">
        <v>46218.0</v>
      </c>
      <c r="T107" s="166">
        <v>50000.0</v>
      </c>
      <c r="U107" s="99">
        <f>3*T107</f>
        <v>150000</v>
      </c>
      <c r="V107" s="84" t="s">
        <v>1627</v>
      </c>
      <c r="W107" s="85">
        <v>50000.0</v>
      </c>
      <c r="X107" s="313" t="s">
        <v>1636</v>
      </c>
      <c r="Y107" s="392">
        <v>100000.0</v>
      </c>
      <c r="Z107" s="136" t="s">
        <v>1637</v>
      </c>
      <c r="AA107" s="85">
        <v>100000.0</v>
      </c>
      <c r="AB107" s="234" t="s">
        <v>1366</v>
      </c>
      <c r="AC107" s="235"/>
      <c r="AD107" s="235"/>
      <c r="AE107" s="221" t="s">
        <v>1563</v>
      </c>
      <c r="AF107" s="208"/>
      <c r="AG107" s="92"/>
    </row>
    <row r="108">
      <c r="A108" s="183">
        <v>106.0</v>
      </c>
      <c r="B108" s="164">
        <v>46200.0</v>
      </c>
      <c r="C108" s="164">
        <v>46203.0</v>
      </c>
      <c r="D108" s="152" t="s">
        <v>54</v>
      </c>
      <c r="E108" s="106" t="s">
        <v>77</v>
      </c>
      <c r="F108" s="86">
        <v>116554.0</v>
      </c>
      <c r="G108" s="103">
        <v>34.64</v>
      </c>
      <c r="H108" s="103">
        <v>34.64</v>
      </c>
      <c r="I108" s="155">
        <f t="shared" si="1"/>
        <v>4037430.56</v>
      </c>
      <c r="J108" s="474">
        <f t="shared" si="19"/>
        <v>40374.3056</v>
      </c>
      <c r="K108" s="96"/>
      <c r="L108" s="96"/>
      <c r="M108" s="95">
        <f>ROUND(IF(H108&gt;31,31,H108)*55.34%*F108,-3)</f>
        <v>2000000</v>
      </c>
      <c r="N108" s="185">
        <f t="shared" si="48"/>
        <v>1777056.254</v>
      </c>
      <c r="O108" s="307">
        <f t="shared" si="34"/>
        <v>0.10392</v>
      </c>
      <c r="P108" s="95">
        <f t="shared" si="35"/>
        <v>0</v>
      </c>
      <c r="Q108" s="95">
        <f t="shared" si="36"/>
        <v>0</v>
      </c>
      <c r="R108" s="95">
        <f t="shared" si="37"/>
        <v>0</v>
      </c>
      <c r="S108" s="71" t="s">
        <v>91</v>
      </c>
      <c r="T108" s="166">
        <v>35000.0</v>
      </c>
      <c r="U108" s="99">
        <f t="shared" ref="U108:U110" si="52">2*T108</f>
        <v>70000</v>
      </c>
      <c r="V108" s="84" t="s">
        <v>1627</v>
      </c>
      <c r="W108" s="85">
        <v>50000.0</v>
      </c>
      <c r="X108" s="313" t="s">
        <v>1623</v>
      </c>
      <c r="Y108" s="392">
        <v>100000.0</v>
      </c>
      <c r="Z108" s="136" t="s">
        <v>1652</v>
      </c>
      <c r="AA108" s="187">
        <v>100000.0</v>
      </c>
      <c r="AB108" s="234" t="s">
        <v>1366</v>
      </c>
      <c r="AC108" s="235"/>
      <c r="AD108" s="235"/>
      <c r="AE108" s="460" t="s">
        <v>1654</v>
      </c>
      <c r="AF108" s="92"/>
      <c r="AG108" s="92"/>
    </row>
    <row r="109">
      <c r="A109" s="183">
        <v>107.0</v>
      </c>
      <c r="B109" s="164">
        <v>46204.0</v>
      </c>
      <c r="C109" s="164">
        <v>46205.0</v>
      </c>
      <c r="D109" s="466" t="s">
        <v>294</v>
      </c>
      <c r="E109" s="466" t="s">
        <v>1657</v>
      </c>
      <c r="F109" s="86">
        <v>133224.0</v>
      </c>
      <c r="G109" s="103">
        <v>33.02</v>
      </c>
      <c r="H109" s="103">
        <v>33.02</v>
      </c>
      <c r="I109" s="96">
        <f t="shared" si="1"/>
        <v>4399056.48</v>
      </c>
      <c r="J109" s="467"/>
      <c r="K109" s="475"/>
      <c r="L109" s="476">
        <f>M109*0.05</f>
        <v>115000</v>
      </c>
      <c r="M109" s="95">
        <f>ROUND(IF(H109&gt;31,31,H109)*55.7%*F109,-3)</f>
        <v>2300000</v>
      </c>
      <c r="N109" s="185">
        <f t="shared" ref="N109:N120" si="53">I109-M109-U109-AA109-AC109-W109-J109-R109-K109-L109</f>
        <v>1804056.48</v>
      </c>
      <c r="O109" s="391">
        <f t="shared" si="34"/>
        <v>0.09906</v>
      </c>
      <c r="P109" s="95">
        <f t="shared" si="35"/>
        <v>0</v>
      </c>
      <c r="Q109" s="95">
        <f t="shared" si="36"/>
        <v>0</v>
      </c>
      <c r="R109" s="95">
        <f t="shared" si="37"/>
        <v>0</v>
      </c>
      <c r="S109" s="71" t="s">
        <v>91</v>
      </c>
      <c r="T109" s="166">
        <v>40000.0</v>
      </c>
      <c r="U109" s="99">
        <f t="shared" si="52"/>
        <v>80000</v>
      </c>
      <c r="V109" s="84" t="s">
        <v>1627</v>
      </c>
      <c r="W109" s="85">
        <v>0.0</v>
      </c>
      <c r="X109" s="86" t="s">
        <v>91</v>
      </c>
      <c r="Y109" s="85" t="s">
        <v>1672</v>
      </c>
      <c r="Z109" s="85" t="s">
        <v>91</v>
      </c>
      <c r="AA109" s="85">
        <v>100000.0</v>
      </c>
      <c r="AB109" s="234" t="s">
        <v>1366</v>
      </c>
      <c r="AC109" s="235"/>
      <c r="AD109" s="235"/>
      <c r="AE109" s="478" t="s">
        <v>1674</v>
      </c>
      <c r="AF109" s="208"/>
      <c r="AG109" s="92"/>
    </row>
    <row r="110">
      <c r="A110" s="214">
        <v>108.0</v>
      </c>
      <c r="B110" s="164">
        <v>46210.0</v>
      </c>
      <c r="C110" s="164">
        <v>46211.0</v>
      </c>
      <c r="D110" s="165" t="s">
        <v>302</v>
      </c>
      <c r="E110" s="165" t="s">
        <v>630</v>
      </c>
      <c r="F110" s="86">
        <v>82906.0</v>
      </c>
      <c r="G110" s="103">
        <v>33.82</v>
      </c>
      <c r="H110" s="103">
        <v>33.82</v>
      </c>
      <c r="I110" s="96">
        <f t="shared" si="1"/>
        <v>2803880.92</v>
      </c>
      <c r="J110" s="480">
        <f t="shared" ref="J110:J120" si="54">I110*0.01</f>
        <v>28038.8092</v>
      </c>
      <c r="K110" s="96"/>
      <c r="L110" s="96"/>
      <c r="M110" s="95">
        <f>ROUND(IF(H110&gt;31,31,H110)*48.6365%*F110,-3)</f>
        <v>1250000</v>
      </c>
      <c r="N110" s="185">
        <f t="shared" si="53"/>
        <v>1385842.111</v>
      </c>
      <c r="O110" s="391">
        <f t="shared" si="34"/>
        <v>0.10146</v>
      </c>
      <c r="P110" s="95">
        <f t="shared" si="35"/>
        <v>0</v>
      </c>
      <c r="Q110" s="95">
        <f t="shared" si="36"/>
        <v>0</v>
      </c>
      <c r="R110" s="95">
        <f t="shared" si="37"/>
        <v>0</v>
      </c>
      <c r="S110" s="71" t="s">
        <v>91</v>
      </c>
      <c r="T110" s="166">
        <v>20000.0</v>
      </c>
      <c r="U110" s="99">
        <f t="shared" si="52"/>
        <v>40000</v>
      </c>
      <c r="V110" s="84" t="s">
        <v>1627</v>
      </c>
      <c r="W110" s="85">
        <v>0.0</v>
      </c>
      <c r="X110" s="86" t="s">
        <v>91</v>
      </c>
      <c r="Y110" s="85" t="s">
        <v>1672</v>
      </c>
      <c r="Z110" s="86" t="s">
        <v>91</v>
      </c>
      <c r="AA110" s="187">
        <v>100000.0</v>
      </c>
      <c r="AB110" s="234" t="s">
        <v>1366</v>
      </c>
      <c r="AC110" s="188"/>
      <c r="AD110" s="235"/>
      <c r="AE110" s="207"/>
      <c r="AF110" s="92"/>
      <c r="AG110" s="92"/>
    </row>
    <row r="111">
      <c r="A111" s="183">
        <v>109.0</v>
      </c>
      <c r="B111" s="164">
        <v>46212.0</v>
      </c>
      <c r="C111" s="164">
        <v>46213.0</v>
      </c>
      <c r="D111" s="152" t="s">
        <v>54</v>
      </c>
      <c r="E111" s="154" t="s">
        <v>565</v>
      </c>
      <c r="F111" s="86">
        <v>116554.0</v>
      </c>
      <c r="G111" s="103">
        <v>35.88</v>
      </c>
      <c r="H111" s="103">
        <v>35.47</v>
      </c>
      <c r="I111" s="96">
        <f t="shared" si="1"/>
        <v>4134170.38</v>
      </c>
      <c r="J111" s="96">
        <f t="shared" si="54"/>
        <v>41341.7038</v>
      </c>
      <c r="K111" s="96"/>
      <c r="L111" s="96"/>
      <c r="M111" s="95">
        <f>ROUND(IF(H111&gt;31,31,H111)*52.58552%*F111,-3)</f>
        <v>1900000</v>
      </c>
      <c r="N111" s="185">
        <f t="shared" si="53"/>
        <v>1801648.676</v>
      </c>
      <c r="O111" s="391">
        <f t="shared" si="34"/>
        <v>0.10764</v>
      </c>
      <c r="P111" s="308">
        <f t="shared" si="35"/>
        <v>0.41</v>
      </c>
      <c r="Q111" s="308">
        <f t="shared" si="36"/>
        <v>302360</v>
      </c>
      <c r="R111" s="308">
        <f t="shared" si="37"/>
        <v>151180</v>
      </c>
      <c r="S111" s="309">
        <v>46218.0</v>
      </c>
      <c r="T111" s="166">
        <v>35000.0</v>
      </c>
      <c r="U111" s="99">
        <f>4*T111</f>
        <v>140000</v>
      </c>
      <c r="V111" s="84" t="s">
        <v>1627</v>
      </c>
      <c r="W111" s="85">
        <v>0.0</v>
      </c>
      <c r="X111" s="86" t="s">
        <v>91</v>
      </c>
      <c r="Y111" s="85" t="s">
        <v>1672</v>
      </c>
      <c r="Z111" s="86" t="s">
        <v>91</v>
      </c>
      <c r="AA111" s="85">
        <v>100000.0</v>
      </c>
      <c r="AB111" s="234" t="s">
        <v>1366</v>
      </c>
      <c r="AC111" s="235"/>
      <c r="AD111" s="235"/>
      <c r="AE111" s="221" t="s">
        <v>1699</v>
      </c>
      <c r="AF111" s="92"/>
      <c r="AG111" s="92"/>
    </row>
    <row r="112">
      <c r="A112" s="183">
        <v>110.0</v>
      </c>
      <c r="B112" s="164">
        <v>46218.0</v>
      </c>
      <c r="C112" s="164">
        <v>46219.0</v>
      </c>
      <c r="D112" s="152" t="s">
        <v>54</v>
      </c>
      <c r="E112" s="94" t="s">
        <v>1703</v>
      </c>
      <c r="F112" s="86">
        <v>116554.0</v>
      </c>
      <c r="G112" s="103">
        <v>34.54</v>
      </c>
      <c r="H112" s="103">
        <v>33.96</v>
      </c>
      <c r="I112" s="155">
        <f t="shared" si="1"/>
        <v>3958173.84</v>
      </c>
      <c r="J112" s="474">
        <f t="shared" si="54"/>
        <v>39581.7384</v>
      </c>
      <c r="K112" s="79"/>
      <c r="L112" s="79"/>
      <c r="M112" s="458">
        <f>ROUND(IF(H112&gt;31,31,H112)*55.34%*F112,-3)</f>
        <v>2000000</v>
      </c>
      <c r="N112" s="185">
        <f t="shared" si="53"/>
        <v>1510402.102</v>
      </c>
      <c r="O112" s="307">
        <f t="shared" si="34"/>
        <v>0.10362</v>
      </c>
      <c r="P112" s="308">
        <f t="shared" si="35"/>
        <v>0.58</v>
      </c>
      <c r="Q112" s="308">
        <f t="shared" si="36"/>
        <v>476380</v>
      </c>
      <c r="R112" s="308">
        <f t="shared" si="37"/>
        <v>238190</v>
      </c>
      <c r="S112" s="71" t="s">
        <v>1707</v>
      </c>
      <c r="T112" s="166">
        <v>35000.0</v>
      </c>
      <c r="U112" s="244">
        <f>2*T112</f>
        <v>70000</v>
      </c>
      <c r="V112" s="234" t="s">
        <v>1366</v>
      </c>
      <c r="W112" s="85">
        <v>0.0</v>
      </c>
      <c r="X112" s="86" t="s">
        <v>91</v>
      </c>
      <c r="Y112" s="85" t="s">
        <v>1672</v>
      </c>
      <c r="Z112" s="86" t="s">
        <v>91</v>
      </c>
      <c r="AA112" s="187">
        <v>100000.0</v>
      </c>
      <c r="AB112" s="234" t="s">
        <v>1366</v>
      </c>
      <c r="AC112" s="235"/>
      <c r="AD112" s="235"/>
      <c r="AE112" s="282"/>
      <c r="AF112" s="92"/>
      <c r="AG112" s="92"/>
    </row>
    <row r="113">
      <c r="A113" s="183">
        <v>111.0</v>
      </c>
      <c r="B113" s="164">
        <v>46219.0</v>
      </c>
      <c r="C113" s="164">
        <v>46221.0</v>
      </c>
      <c r="D113" s="165" t="s">
        <v>352</v>
      </c>
      <c r="E113" s="165" t="s">
        <v>1317</v>
      </c>
      <c r="F113" s="86">
        <v>196733.28</v>
      </c>
      <c r="G113" s="103">
        <v>34.96</v>
      </c>
      <c r="H113" s="103">
        <v>34.7</v>
      </c>
      <c r="I113" s="96">
        <f t="shared" si="1"/>
        <v>6826644.816</v>
      </c>
      <c r="J113" s="96">
        <f t="shared" si="54"/>
        <v>68266.44816</v>
      </c>
      <c r="K113" s="96"/>
      <c r="L113" s="96"/>
      <c r="M113" s="95">
        <f>ROUND(IF(H113&gt;31,31,H113)*52.47%*F113,-3)</f>
        <v>3200000</v>
      </c>
      <c r="N113" s="185">
        <f t="shared" si="53"/>
        <v>3230818.368</v>
      </c>
      <c r="O113" s="391">
        <f t="shared" si="34"/>
        <v>0.10488</v>
      </c>
      <c r="P113" s="308">
        <f t="shared" si="35"/>
        <v>0.26</v>
      </c>
      <c r="Q113" s="308">
        <f t="shared" si="36"/>
        <v>155120</v>
      </c>
      <c r="R113" s="308">
        <f t="shared" si="37"/>
        <v>77560</v>
      </c>
      <c r="S113" s="71" t="s">
        <v>1707</v>
      </c>
      <c r="T113" s="166">
        <v>50000.0</v>
      </c>
      <c r="U113" s="244">
        <f>3*T113</f>
        <v>150000</v>
      </c>
      <c r="V113" s="234" t="s">
        <v>1366</v>
      </c>
      <c r="W113" s="85">
        <v>0.0</v>
      </c>
      <c r="X113" s="86" t="s">
        <v>91</v>
      </c>
      <c r="Y113" s="85" t="s">
        <v>1672</v>
      </c>
      <c r="Z113" s="86" t="s">
        <v>91</v>
      </c>
      <c r="AA113" s="85">
        <v>100000.0</v>
      </c>
      <c r="AB113" s="234" t="s">
        <v>1366</v>
      </c>
      <c r="AC113" s="234"/>
      <c r="AD113" s="234"/>
      <c r="AE113" s="221" t="s">
        <v>1745</v>
      </c>
      <c r="AF113" s="92"/>
      <c r="AG113" s="92"/>
    </row>
    <row r="114">
      <c r="A114" s="183">
        <v>112.0</v>
      </c>
      <c r="B114" s="164">
        <v>46223.0</v>
      </c>
      <c r="C114" s="164">
        <v>46224.0</v>
      </c>
      <c r="D114" s="152" t="s">
        <v>54</v>
      </c>
      <c r="E114" s="106" t="s">
        <v>77</v>
      </c>
      <c r="F114" s="86">
        <v>116554.0</v>
      </c>
      <c r="G114" s="103">
        <v>36.74</v>
      </c>
      <c r="H114" s="103">
        <v>36.74</v>
      </c>
      <c r="I114" s="155">
        <f t="shared" si="1"/>
        <v>4282193.96</v>
      </c>
      <c r="J114" s="474">
        <f t="shared" si="54"/>
        <v>42821.9396</v>
      </c>
      <c r="K114" s="79"/>
      <c r="L114" s="79"/>
      <c r="M114" s="458">
        <f t="shared" ref="M114:M116" si="55">ROUND(IF(H114&gt;31,31,H114)*55.34%*F114,-3)</f>
        <v>2000000</v>
      </c>
      <c r="N114" s="185">
        <f t="shared" si="53"/>
        <v>1999372.02</v>
      </c>
      <c r="O114" s="307">
        <f t="shared" si="34"/>
        <v>0.11022</v>
      </c>
      <c r="P114" s="95">
        <f t="shared" si="35"/>
        <v>0</v>
      </c>
      <c r="Q114" s="95">
        <f t="shared" si="36"/>
        <v>0</v>
      </c>
      <c r="R114" s="95">
        <f t="shared" si="37"/>
        <v>0</v>
      </c>
      <c r="S114" s="71" t="s">
        <v>91</v>
      </c>
      <c r="T114" s="166">
        <v>35000.0</v>
      </c>
      <c r="U114" s="244">
        <f>4*T114</f>
        <v>140000</v>
      </c>
      <c r="V114" s="234" t="s">
        <v>1366</v>
      </c>
      <c r="W114" s="85">
        <v>0.0</v>
      </c>
      <c r="X114" s="86" t="s">
        <v>91</v>
      </c>
      <c r="Y114" s="85" t="s">
        <v>1672</v>
      </c>
      <c r="Z114" s="86" t="s">
        <v>91</v>
      </c>
      <c r="AA114" s="187">
        <v>100000.0</v>
      </c>
      <c r="AB114" s="234" t="s">
        <v>1366</v>
      </c>
      <c r="AC114" s="235"/>
      <c r="AD114" s="235"/>
      <c r="AE114" s="282"/>
      <c r="AF114" s="92"/>
      <c r="AG114" s="92"/>
    </row>
    <row r="115">
      <c r="A115" s="183">
        <v>113.0</v>
      </c>
      <c r="B115" s="164">
        <v>46226.0</v>
      </c>
      <c r="C115" s="164">
        <v>46227.0</v>
      </c>
      <c r="D115" s="152" t="s">
        <v>54</v>
      </c>
      <c r="E115" s="165" t="s">
        <v>1274</v>
      </c>
      <c r="F115" s="86">
        <v>116554.0</v>
      </c>
      <c r="G115" s="103">
        <v>38.64</v>
      </c>
      <c r="H115" s="103">
        <v>38.64</v>
      </c>
      <c r="I115" s="155">
        <f t="shared" si="1"/>
        <v>4503646.56</v>
      </c>
      <c r="J115" s="77">
        <f t="shared" si="54"/>
        <v>45036.4656</v>
      </c>
      <c r="K115" s="79"/>
      <c r="L115" s="79"/>
      <c r="M115" s="458">
        <f t="shared" si="55"/>
        <v>2000000</v>
      </c>
      <c r="N115" s="185">
        <f t="shared" si="53"/>
        <v>2148610.094</v>
      </c>
      <c r="O115" s="307">
        <f t="shared" si="34"/>
        <v>0.11592</v>
      </c>
      <c r="P115" s="95">
        <f t="shared" si="35"/>
        <v>0</v>
      </c>
      <c r="Q115" s="95">
        <f t="shared" si="36"/>
        <v>0</v>
      </c>
      <c r="R115" s="95">
        <f t="shared" si="37"/>
        <v>0</v>
      </c>
      <c r="S115" s="71" t="s">
        <v>91</v>
      </c>
      <c r="T115" s="166">
        <v>35000.0</v>
      </c>
      <c r="U115" s="244">
        <f>6*T115</f>
        <v>210000</v>
      </c>
      <c r="V115" s="234" t="s">
        <v>1366</v>
      </c>
      <c r="W115" s="85">
        <v>0.0</v>
      </c>
      <c r="X115" s="86" t="s">
        <v>91</v>
      </c>
      <c r="Y115" s="85">
        <v>100000.0</v>
      </c>
      <c r="Z115" s="234" t="s">
        <v>1366</v>
      </c>
      <c r="AA115" s="187">
        <v>100000.0</v>
      </c>
      <c r="AB115" s="234" t="s">
        <v>1366</v>
      </c>
      <c r="AC115" s="235"/>
      <c r="AD115" s="235"/>
      <c r="AE115" s="92"/>
      <c r="AF115" s="92"/>
      <c r="AG115" s="92"/>
    </row>
    <row r="116">
      <c r="A116" s="214">
        <v>114.0</v>
      </c>
      <c r="B116" s="164">
        <v>46229.0</v>
      </c>
      <c r="C116" s="164">
        <v>46230.0</v>
      </c>
      <c r="D116" s="152" t="s">
        <v>54</v>
      </c>
      <c r="E116" s="165" t="s">
        <v>1786</v>
      </c>
      <c r="F116" s="86">
        <v>116554.0</v>
      </c>
      <c r="G116" s="103">
        <v>32.96</v>
      </c>
      <c r="H116" s="103">
        <v>32.74</v>
      </c>
      <c r="I116" s="155">
        <f t="shared" si="1"/>
        <v>3815977.96</v>
      </c>
      <c r="J116" s="77">
        <f t="shared" si="54"/>
        <v>38159.7796</v>
      </c>
      <c r="K116" s="79"/>
      <c r="L116" s="79"/>
      <c r="M116" s="458">
        <f t="shared" si="55"/>
        <v>2000000</v>
      </c>
      <c r="N116" s="185">
        <f t="shared" si="53"/>
        <v>1617258.18</v>
      </c>
      <c r="O116" s="307">
        <f t="shared" si="34"/>
        <v>0.09888</v>
      </c>
      <c r="P116" s="308">
        <f t="shared" si="35"/>
        <v>0.22</v>
      </c>
      <c r="Q116" s="308">
        <f t="shared" si="36"/>
        <v>121120</v>
      </c>
      <c r="R116" s="308">
        <f t="shared" si="37"/>
        <v>60560</v>
      </c>
      <c r="S116" s="71" t="s">
        <v>1707</v>
      </c>
      <c r="T116" s="166">
        <v>35000.0</v>
      </c>
      <c r="U116" s="244">
        <f t="shared" ref="U116:U117" si="56">0*T116</f>
        <v>0</v>
      </c>
      <c r="V116" s="234" t="s">
        <v>1366</v>
      </c>
      <c r="W116" s="85">
        <v>0.0</v>
      </c>
      <c r="X116" s="86" t="s">
        <v>91</v>
      </c>
      <c r="Y116" s="85">
        <v>100000.0</v>
      </c>
      <c r="Z116" s="234" t="s">
        <v>1366</v>
      </c>
      <c r="AA116" s="187">
        <v>100000.0</v>
      </c>
      <c r="AB116" s="234" t="s">
        <v>1366</v>
      </c>
      <c r="AC116" s="235"/>
      <c r="AD116" s="235"/>
      <c r="AE116" s="221" t="s">
        <v>1805</v>
      </c>
      <c r="AF116" s="92"/>
      <c r="AG116" s="92"/>
    </row>
    <row r="117">
      <c r="A117" s="183">
        <v>115.0</v>
      </c>
      <c r="B117" s="164">
        <v>46231.0</v>
      </c>
      <c r="C117" s="164">
        <v>46233.0</v>
      </c>
      <c r="D117" s="165" t="s">
        <v>352</v>
      </c>
      <c r="E117" s="165" t="s">
        <v>1809</v>
      </c>
      <c r="F117" s="86">
        <v>196733.28</v>
      </c>
      <c r="G117" s="103">
        <v>31.44</v>
      </c>
      <c r="H117" s="103">
        <v>31.44</v>
      </c>
      <c r="I117" s="96">
        <f t="shared" si="1"/>
        <v>6185294.323</v>
      </c>
      <c r="J117" s="96">
        <f t="shared" si="54"/>
        <v>61852.94323</v>
      </c>
      <c r="K117" s="96"/>
      <c r="L117" s="96"/>
      <c r="M117" s="95">
        <f>ROUND(IF(H117&gt;31,31,H117)*52.47%*F117,-3)</f>
        <v>3200000</v>
      </c>
      <c r="N117" s="185">
        <f t="shared" si="53"/>
        <v>2823441.38</v>
      </c>
      <c r="O117" s="391">
        <f t="shared" si="34"/>
        <v>0.09432</v>
      </c>
      <c r="P117" s="95">
        <f t="shared" si="35"/>
        <v>0</v>
      </c>
      <c r="Q117" s="95">
        <f t="shared" si="36"/>
        <v>0</v>
      </c>
      <c r="R117" s="95">
        <f t="shared" si="37"/>
        <v>0</v>
      </c>
      <c r="S117" s="71" t="s">
        <v>91</v>
      </c>
      <c r="T117" s="166">
        <v>50000.0</v>
      </c>
      <c r="U117" s="244">
        <f t="shared" si="56"/>
        <v>0</v>
      </c>
      <c r="V117" s="234" t="s">
        <v>1366</v>
      </c>
      <c r="W117" s="85">
        <v>0.0</v>
      </c>
      <c r="X117" s="86" t="s">
        <v>91</v>
      </c>
      <c r="Y117" s="85" t="s">
        <v>1672</v>
      </c>
      <c r="Z117" s="86" t="s">
        <v>91</v>
      </c>
      <c r="AA117" s="85">
        <v>100000.0</v>
      </c>
      <c r="AB117" s="234" t="s">
        <v>1366</v>
      </c>
      <c r="AC117" s="234"/>
      <c r="AD117" s="234"/>
      <c r="AF117" s="92"/>
      <c r="AG117" s="92"/>
    </row>
    <row r="118">
      <c r="A118" s="214">
        <v>116.0</v>
      </c>
      <c r="B118" s="164">
        <v>46234.0</v>
      </c>
      <c r="C118" s="164">
        <v>46237.0</v>
      </c>
      <c r="D118" s="152" t="s">
        <v>54</v>
      </c>
      <c r="E118" s="154" t="s">
        <v>565</v>
      </c>
      <c r="F118" s="86">
        <v>116554.0</v>
      </c>
      <c r="G118" s="103">
        <v>33.54</v>
      </c>
      <c r="H118" s="103">
        <v>33.05</v>
      </c>
      <c r="I118" s="96">
        <f t="shared" si="1"/>
        <v>3852109.7</v>
      </c>
      <c r="J118" s="96">
        <f t="shared" si="54"/>
        <v>38521.097</v>
      </c>
      <c r="K118" s="96"/>
      <c r="L118" s="96"/>
      <c r="M118" s="95">
        <f>ROUND(IF(H118&gt;31,31,H118)*52.58552%*F118,-3)</f>
        <v>1900000</v>
      </c>
      <c r="N118" s="185">
        <f t="shared" si="53"/>
        <v>1548898.603</v>
      </c>
      <c r="O118" s="391">
        <f t="shared" si="34"/>
        <v>0.10062</v>
      </c>
      <c r="P118" s="308">
        <f t="shared" si="35"/>
        <v>0.49</v>
      </c>
      <c r="Q118" s="308">
        <f t="shared" si="36"/>
        <v>389380</v>
      </c>
      <c r="R118" s="308">
        <f t="shared" si="37"/>
        <v>194690</v>
      </c>
      <c r="S118" s="71" t="s">
        <v>1707</v>
      </c>
      <c r="T118" s="166">
        <v>35000.0</v>
      </c>
      <c r="U118" s="244">
        <f>2*T118</f>
        <v>70000</v>
      </c>
      <c r="V118" s="234" t="s">
        <v>1366</v>
      </c>
      <c r="W118" s="85">
        <v>0.0</v>
      </c>
      <c r="X118" s="86" t="s">
        <v>91</v>
      </c>
      <c r="Y118" s="85" t="s">
        <v>1672</v>
      </c>
      <c r="Z118" s="86" t="s">
        <v>91</v>
      </c>
      <c r="AA118" s="85">
        <v>100000.0</v>
      </c>
      <c r="AB118" s="234" t="s">
        <v>1366</v>
      </c>
      <c r="AC118" s="235"/>
      <c r="AD118" s="235"/>
      <c r="AE118" s="221" t="s">
        <v>1825</v>
      </c>
      <c r="AF118" s="92"/>
      <c r="AG118" s="92"/>
    </row>
    <row r="119">
      <c r="A119" s="214">
        <v>117.0</v>
      </c>
      <c r="B119" s="164">
        <v>46238.0</v>
      </c>
      <c r="C119" s="164">
        <v>46240.0</v>
      </c>
      <c r="D119" s="165" t="s">
        <v>352</v>
      </c>
      <c r="E119" s="165" t="s">
        <v>1317</v>
      </c>
      <c r="F119" s="86">
        <v>196733.28</v>
      </c>
      <c r="G119" s="103">
        <v>32.18</v>
      </c>
      <c r="H119" s="103">
        <v>31.84</v>
      </c>
      <c r="I119" s="96">
        <f t="shared" si="1"/>
        <v>6263987.635</v>
      </c>
      <c r="J119" s="96">
        <f t="shared" si="54"/>
        <v>62639.87635</v>
      </c>
      <c r="K119" s="96"/>
      <c r="L119" s="96"/>
      <c r="M119" s="95">
        <f>ROUND(IF(H119&gt;31,31,H119)*52.47%*F119,-3)</f>
        <v>3200000</v>
      </c>
      <c r="N119" s="185">
        <f t="shared" si="53"/>
        <v>2779617.759</v>
      </c>
      <c r="O119" s="391">
        <f t="shared" si="34"/>
        <v>0.09654</v>
      </c>
      <c r="P119" s="308">
        <f t="shared" si="35"/>
        <v>0.34</v>
      </c>
      <c r="Q119" s="308">
        <f t="shared" si="36"/>
        <v>243460</v>
      </c>
      <c r="R119" s="308">
        <f t="shared" si="37"/>
        <v>121730</v>
      </c>
      <c r="S119" s="71" t="s">
        <v>1707</v>
      </c>
      <c r="T119" s="166">
        <v>50000.0</v>
      </c>
      <c r="U119" s="244">
        <f>0*T119</f>
        <v>0</v>
      </c>
      <c r="V119" s="234" t="s">
        <v>1366</v>
      </c>
      <c r="W119" s="85">
        <v>0.0</v>
      </c>
      <c r="X119" s="86" t="s">
        <v>91</v>
      </c>
      <c r="Y119" s="85" t="s">
        <v>1672</v>
      </c>
      <c r="Z119" s="86" t="s">
        <v>91</v>
      </c>
      <c r="AA119" s="85">
        <v>100000.0</v>
      </c>
      <c r="AB119" s="234" t="s">
        <v>1366</v>
      </c>
      <c r="AC119" s="234"/>
      <c r="AD119" s="234"/>
      <c r="AE119" s="221" t="s">
        <v>1845</v>
      </c>
      <c r="AF119" s="92"/>
      <c r="AG119" s="92"/>
    </row>
    <row r="120">
      <c r="A120" s="214">
        <v>118.0</v>
      </c>
      <c r="B120" s="164">
        <v>46241.0</v>
      </c>
      <c r="C120" s="164">
        <v>46242.0</v>
      </c>
      <c r="D120" s="165" t="s">
        <v>302</v>
      </c>
      <c r="E120" s="165" t="s">
        <v>630</v>
      </c>
      <c r="F120" s="86">
        <v>82906.0</v>
      </c>
      <c r="G120" s="103">
        <v>34.24</v>
      </c>
      <c r="H120" s="103">
        <v>34.24</v>
      </c>
      <c r="I120" s="96">
        <f t="shared" si="1"/>
        <v>2838701.44</v>
      </c>
      <c r="J120" s="480">
        <f t="shared" si="54"/>
        <v>28387.0144</v>
      </c>
      <c r="K120" s="96"/>
      <c r="L120" s="96"/>
      <c r="M120" s="95">
        <f>ROUND(IF(H120&gt;31,31,H120)*48.6365%*F120,-3)</f>
        <v>1250000</v>
      </c>
      <c r="N120" s="185">
        <f t="shared" si="53"/>
        <v>1400314.426</v>
      </c>
      <c r="O120" s="391">
        <f t="shared" si="34"/>
        <v>0.10272</v>
      </c>
      <c r="P120" s="95">
        <f t="shared" si="35"/>
        <v>0</v>
      </c>
      <c r="Q120" s="95">
        <f t="shared" si="36"/>
        <v>0</v>
      </c>
      <c r="R120" s="95">
        <f t="shared" si="37"/>
        <v>0</v>
      </c>
      <c r="S120" s="71" t="s">
        <v>91</v>
      </c>
      <c r="T120" s="166">
        <v>20000.0</v>
      </c>
      <c r="U120" s="244">
        <f>3*T120</f>
        <v>60000</v>
      </c>
      <c r="V120" s="234" t="s">
        <v>1366</v>
      </c>
      <c r="W120" s="85">
        <v>0.0</v>
      </c>
      <c r="X120" s="86" t="s">
        <v>91</v>
      </c>
      <c r="Y120" s="85" t="s">
        <v>1672</v>
      </c>
      <c r="Z120" s="86" t="s">
        <v>91</v>
      </c>
      <c r="AA120" s="187">
        <v>100000.0</v>
      </c>
      <c r="AB120" s="234" t="s">
        <v>1366</v>
      </c>
      <c r="AC120" s="188"/>
      <c r="AD120" s="235"/>
      <c r="AE120" s="207"/>
      <c r="AF120" s="92"/>
      <c r="AG120" s="92"/>
    </row>
    <row r="121">
      <c r="A121" s="214"/>
      <c r="B121" s="164"/>
      <c r="C121" s="164"/>
      <c r="D121" s="165"/>
      <c r="E121" s="165"/>
      <c r="F121" s="86"/>
      <c r="G121" s="103"/>
      <c r="H121" s="103"/>
      <c r="I121" s="96"/>
      <c r="J121" s="96"/>
      <c r="K121" s="405"/>
      <c r="L121" s="405"/>
      <c r="M121" s="95"/>
      <c r="N121" s="95"/>
      <c r="O121" s="391"/>
      <c r="P121" s="95"/>
      <c r="Q121" s="95"/>
      <c r="R121" s="95"/>
      <c r="S121" s="71"/>
      <c r="T121" s="166"/>
      <c r="U121" s="244"/>
      <c r="V121" s="234"/>
      <c r="W121" s="85"/>
      <c r="X121" s="86"/>
      <c r="Y121" s="85"/>
      <c r="Z121" s="234"/>
      <c r="AA121" s="85"/>
      <c r="AB121" s="234"/>
      <c r="AC121" s="282"/>
      <c r="AD121" s="282"/>
      <c r="AE121" s="92"/>
      <c r="AF121" s="208"/>
      <c r="AG121" s="92"/>
    </row>
    <row r="122">
      <c r="A122" s="214"/>
      <c r="B122" s="164"/>
      <c r="C122" s="164"/>
      <c r="D122" s="165"/>
      <c r="E122" s="165"/>
      <c r="F122" s="86"/>
      <c r="G122" s="103"/>
      <c r="H122" s="103"/>
      <c r="I122" s="96"/>
      <c r="J122" s="96"/>
      <c r="K122" s="405"/>
      <c r="L122" s="405"/>
      <c r="M122" s="95"/>
      <c r="N122" s="95"/>
      <c r="O122" s="391"/>
      <c r="P122" s="95"/>
      <c r="Q122" s="95"/>
      <c r="R122" s="95"/>
      <c r="S122" s="71"/>
      <c r="T122" s="166"/>
      <c r="U122" s="244"/>
      <c r="V122" s="234"/>
      <c r="W122" s="85"/>
      <c r="X122" s="86"/>
      <c r="Y122" s="85"/>
      <c r="Z122" s="234"/>
      <c r="AA122" s="85"/>
      <c r="AB122" s="234"/>
      <c r="AC122" s="282"/>
      <c r="AD122" s="282"/>
      <c r="AE122" s="92"/>
      <c r="AF122" s="208"/>
      <c r="AG122" s="92"/>
    </row>
    <row r="123">
      <c r="A123" s="214"/>
      <c r="B123" s="164"/>
      <c r="C123" s="164"/>
      <c r="D123" s="165"/>
      <c r="E123" s="165"/>
      <c r="F123" s="86"/>
      <c r="G123" s="103"/>
      <c r="H123" s="103"/>
      <c r="I123" s="96"/>
      <c r="J123" s="96"/>
      <c r="K123" s="405"/>
      <c r="L123" s="405"/>
      <c r="M123" s="95"/>
      <c r="N123" s="95"/>
      <c r="O123" s="391"/>
      <c r="P123" s="95"/>
      <c r="Q123" s="95"/>
      <c r="R123" s="95"/>
      <c r="S123" s="71"/>
      <c r="T123" s="166"/>
      <c r="U123" s="244"/>
      <c r="V123" s="234"/>
      <c r="W123" s="85"/>
      <c r="X123" s="86"/>
      <c r="Y123" s="85"/>
      <c r="Z123" s="234"/>
      <c r="AA123" s="85"/>
      <c r="AB123" s="234"/>
      <c r="AC123" s="282"/>
      <c r="AD123" s="282"/>
      <c r="AE123" s="92"/>
      <c r="AF123" s="208"/>
      <c r="AG123" s="92"/>
    </row>
    <row r="124">
      <c r="A124" s="214"/>
      <c r="B124" s="164"/>
      <c r="C124" s="164"/>
      <c r="D124" s="165"/>
      <c r="E124" s="165"/>
      <c r="F124" s="86"/>
      <c r="G124" s="103"/>
      <c r="H124" s="103"/>
      <c r="I124" s="96"/>
      <c r="J124" s="96"/>
      <c r="K124" s="405"/>
      <c r="L124" s="405"/>
      <c r="M124" s="95"/>
      <c r="N124" s="95"/>
      <c r="O124" s="391"/>
      <c r="P124" s="95"/>
      <c r="Q124" s="95"/>
      <c r="R124" s="95"/>
      <c r="S124" s="71"/>
      <c r="T124" s="166"/>
      <c r="U124" s="244"/>
      <c r="V124" s="234"/>
      <c r="W124" s="85"/>
      <c r="X124" s="86"/>
      <c r="Y124" s="85"/>
      <c r="Z124" s="234"/>
      <c r="AA124" s="85"/>
      <c r="AB124" s="234"/>
      <c r="AC124" s="282"/>
      <c r="AD124" s="282"/>
      <c r="AE124" s="92"/>
      <c r="AF124" s="208"/>
      <c r="AG124" s="92"/>
    </row>
    <row r="125">
      <c r="A125" s="214"/>
      <c r="B125" s="164"/>
      <c r="C125" s="164"/>
      <c r="D125" s="165"/>
      <c r="E125" s="165"/>
      <c r="F125" s="86"/>
      <c r="G125" s="103"/>
      <c r="H125" s="103"/>
      <c r="I125" s="96"/>
      <c r="J125" s="96"/>
      <c r="K125" s="96"/>
      <c r="L125" s="96"/>
      <c r="M125" s="95"/>
      <c r="N125" s="95"/>
      <c r="O125" s="391"/>
      <c r="P125" s="95"/>
      <c r="Q125" s="95"/>
      <c r="R125" s="95"/>
      <c r="S125" s="71"/>
      <c r="T125" s="166"/>
      <c r="U125" s="244"/>
      <c r="V125" s="234"/>
      <c r="W125" s="85"/>
      <c r="X125" s="86"/>
      <c r="Y125" s="85"/>
      <c r="Z125" s="234"/>
      <c r="AA125" s="85"/>
      <c r="AB125" s="234"/>
      <c r="AC125" s="282"/>
      <c r="AD125" s="282"/>
      <c r="AE125" s="92"/>
      <c r="AF125" s="208"/>
      <c r="AG125" s="92"/>
    </row>
    <row r="126">
      <c r="A126" s="214"/>
      <c r="B126" s="164"/>
      <c r="C126" s="164"/>
      <c r="D126" s="165"/>
      <c r="E126" s="165"/>
      <c r="F126" s="86"/>
      <c r="G126" s="103"/>
      <c r="H126" s="103"/>
      <c r="I126" s="96"/>
      <c r="J126" s="96"/>
      <c r="K126" s="96"/>
      <c r="L126" s="96"/>
      <c r="M126" s="95"/>
      <c r="N126" s="95"/>
      <c r="O126" s="391"/>
      <c r="P126" s="95"/>
      <c r="Q126" s="95"/>
      <c r="R126" s="95"/>
      <c r="S126" s="71"/>
      <c r="T126" s="166"/>
      <c r="U126" s="244"/>
      <c r="V126" s="234"/>
      <c r="W126" s="85"/>
      <c r="X126" s="86"/>
      <c r="Y126" s="85"/>
      <c r="Z126" s="234"/>
      <c r="AA126" s="85"/>
      <c r="AB126" s="234"/>
      <c r="AC126" s="282"/>
      <c r="AD126" s="282"/>
      <c r="AE126" s="92"/>
      <c r="AF126" s="208"/>
      <c r="AG126" s="92"/>
    </row>
    <row r="127">
      <c r="A127" s="214">
        <v>118.0</v>
      </c>
      <c r="B127" s="164">
        <v>46267.0</v>
      </c>
      <c r="C127" s="164"/>
      <c r="D127" s="515" t="s">
        <v>1889</v>
      </c>
      <c r="E127" s="165" t="s">
        <v>1431</v>
      </c>
      <c r="F127" s="86">
        <v>153791.0</v>
      </c>
      <c r="G127" s="103">
        <v>32.24</v>
      </c>
      <c r="H127" s="103">
        <v>32.24</v>
      </c>
      <c r="I127" s="96">
        <f>F127*H127</f>
        <v>4958221.84</v>
      </c>
      <c r="J127" s="96">
        <f>I127*0.01</f>
        <v>49582.2184</v>
      </c>
      <c r="K127" s="96"/>
      <c r="L127" s="96"/>
      <c r="M127" s="95">
        <f>ROUND(IF(H127&gt;31,31,H127)*54.53%*F127,-3)</f>
        <v>2600000</v>
      </c>
      <c r="N127" s="95">
        <f>I127-M127-U127-AA127-AC127-W127-J127-R127-K127-L127</f>
        <v>2163639.622</v>
      </c>
      <c r="O127" s="391">
        <f>0.3%*G127</f>
        <v>0.09672</v>
      </c>
      <c r="P127" s="95">
        <f>G127-H127</f>
        <v>0</v>
      </c>
      <c r="Q127" s="95">
        <f>IF(P127&gt;O127,(1000000*(P127-O127)),0)</f>
        <v>0</v>
      </c>
      <c r="R127" s="95">
        <f>Q127/2</f>
        <v>0</v>
      </c>
      <c r="S127" s="71" t="s">
        <v>91</v>
      </c>
      <c r="T127" s="166">
        <v>45000.0</v>
      </c>
      <c r="U127" s="244">
        <f>1*T127</f>
        <v>45000</v>
      </c>
      <c r="V127" s="234" t="s">
        <v>1366</v>
      </c>
      <c r="W127" s="85">
        <v>0.0</v>
      </c>
      <c r="X127" s="86" t="s">
        <v>91</v>
      </c>
      <c r="Y127" s="85" t="s">
        <v>1672</v>
      </c>
      <c r="Z127" s="86" t="s">
        <v>91</v>
      </c>
      <c r="AA127" s="187">
        <v>100000.0</v>
      </c>
      <c r="AB127" s="234" t="s">
        <v>1366</v>
      </c>
      <c r="AC127" s="188"/>
      <c r="AD127" s="235"/>
      <c r="AE127" s="207"/>
      <c r="AF127" s="92"/>
      <c r="AG127" s="92"/>
    </row>
    <row r="128">
      <c r="A128" s="214"/>
      <c r="B128" s="164"/>
      <c r="C128" s="164"/>
      <c r="D128" s="165"/>
      <c r="E128" s="165"/>
      <c r="F128" s="86"/>
      <c r="G128" s="103"/>
      <c r="H128" s="103"/>
      <c r="I128" s="96"/>
      <c r="J128" s="96"/>
      <c r="K128" s="96"/>
      <c r="L128" s="96"/>
      <c r="M128" s="95"/>
      <c r="N128" s="95"/>
      <c r="O128" s="391"/>
      <c r="P128" s="95"/>
      <c r="Q128" s="95"/>
      <c r="R128" s="95"/>
      <c r="S128" s="71"/>
      <c r="T128" s="166"/>
      <c r="U128" s="244"/>
      <c r="V128" s="234"/>
      <c r="W128" s="85"/>
      <c r="X128" s="86"/>
      <c r="Y128" s="85"/>
      <c r="Z128" s="234"/>
      <c r="AA128" s="85"/>
      <c r="AB128" s="234"/>
      <c r="AC128" s="282"/>
      <c r="AD128" s="282"/>
      <c r="AE128" s="92"/>
      <c r="AF128" s="208"/>
      <c r="AG128" s="92"/>
    </row>
    <row r="129">
      <c r="A129" s="214"/>
      <c r="B129" s="164"/>
      <c r="C129" s="164"/>
      <c r="D129" s="165"/>
      <c r="E129" s="165"/>
      <c r="F129" s="86"/>
      <c r="G129" s="103"/>
      <c r="H129" s="103"/>
      <c r="I129" s="96"/>
      <c r="J129" s="96"/>
      <c r="K129" s="405"/>
      <c r="L129" s="405"/>
      <c r="M129" s="95"/>
      <c r="N129" s="95"/>
      <c r="O129" s="391"/>
      <c r="P129" s="95"/>
      <c r="Q129" s="95"/>
      <c r="R129" s="95"/>
      <c r="S129" s="71"/>
      <c r="T129" s="166"/>
      <c r="U129" s="244"/>
      <c r="V129" s="234"/>
      <c r="W129" s="85"/>
      <c r="X129" s="86"/>
      <c r="Y129" s="85"/>
      <c r="Z129" s="234"/>
      <c r="AA129" s="85"/>
      <c r="AB129" s="234"/>
      <c r="AC129" s="282"/>
      <c r="AD129" s="282"/>
      <c r="AE129" s="92"/>
      <c r="AF129" s="208"/>
      <c r="AG129" s="92"/>
    </row>
    <row r="130">
      <c r="A130" s="523"/>
      <c r="B130" s="523"/>
      <c r="C130" s="523"/>
      <c r="D130" s="523"/>
      <c r="E130" s="523"/>
      <c r="F130" s="523"/>
      <c r="G130" s="524"/>
      <c r="H130" s="524">
        <f t="shared" ref="H130:J130" si="57">SUM(H3:H120)</f>
        <v>3976.96</v>
      </c>
      <c r="I130" s="524">
        <f t="shared" si="57"/>
        <v>592114376.1</v>
      </c>
      <c r="J130" s="524">
        <f t="shared" si="57"/>
        <v>4544223.227</v>
      </c>
      <c r="K130" s="524"/>
      <c r="L130" s="524"/>
      <c r="M130" s="524">
        <f>SUM(M3:M120)</f>
        <v>276024000</v>
      </c>
      <c r="N130" s="524">
        <f>SUM(N3:N121)</f>
        <v>283998362.9</v>
      </c>
      <c r="O130" s="517"/>
      <c r="P130" s="517"/>
      <c r="Q130" s="517">
        <f>SUM(Q65:Q121)</f>
        <v>4098700</v>
      </c>
      <c r="R130" s="517">
        <f>SUM(R66:R121)</f>
        <v>2049350</v>
      </c>
      <c r="S130" s="518">
        <f>R130-SUM(R66:R111)</f>
        <v>692730</v>
      </c>
      <c r="T130" s="524"/>
      <c r="U130" s="524">
        <f>SUM(U3:U121)</f>
        <v>11440000</v>
      </c>
      <c r="V130" s="526">
        <f>U130-SUM(U3:U111)</f>
        <v>700000</v>
      </c>
      <c r="W130" s="524">
        <f>SUM(W3:W121)</f>
        <v>1700000</v>
      </c>
      <c r="X130" s="526">
        <f>W130-SUM(W3:W109)</f>
        <v>0</v>
      </c>
      <c r="Y130" s="526">
        <f>SUM(Y87:Y121)</f>
        <v>2000000</v>
      </c>
      <c r="Z130" s="524">
        <f>Y130-SUM(Y3:Y108)</f>
        <v>200000</v>
      </c>
      <c r="AA130" s="524">
        <f>SUM(AA3:AA121)</f>
        <v>11800000</v>
      </c>
      <c r="AB130" s="526">
        <f>AA130-SUM(AA3:AA100)</f>
        <v>2000000</v>
      </c>
      <c r="AC130" s="524">
        <f>SUM(AC3:AC34)</f>
        <v>1400000</v>
      </c>
      <c r="AD130" s="526">
        <f>AC130-SUM(AC3:AC34)</f>
        <v>0</v>
      </c>
      <c r="AE130" s="92"/>
      <c r="AF130" s="92"/>
      <c r="AG130" s="311">
        <f>SUM(AG66:AG85)</f>
        <v>1257.56</v>
      </c>
    </row>
    <row r="131">
      <c r="R131" s="69" t="s">
        <v>1947</v>
      </c>
      <c r="Y131" s="69" t="s">
        <v>1948</v>
      </c>
    </row>
    <row r="132">
      <c r="B132" s="532" t="s">
        <v>1951</v>
      </c>
      <c r="C132" s="132"/>
      <c r="D132" s="132"/>
      <c r="E132" s="133"/>
      <c r="H132" s="69" t="s">
        <v>1955</v>
      </c>
      <c r="R132" s="69" t="s">
        <v>1956</v>
      </c>
      <c r="V132" s="528">
        <v>5740000.0</v>
      </c>
      <c r="Y132" s="69" t="s">
        <v>1957</v>
      </c>
    </row>
    <row r="133">
      <c r="B133" s="533" t="s">
        <v>1958</v>
      </c>
      <c r="D133" s="535">
        <f>SUM(N16:N26)</f>
        <v>25600611.51</v>
      </c>
      <c r="E133" s="536"/>
      <c r="H133" s="213">
        <f>SUM(D137, D194, E215, E231, E247, D263, D279, D295, D311)</f>
        <v>15131694.33</v>
      </c>
      <c r="M133" s="537" t="s">
        <v>1967</v>
      </c>
      <c r="N133" s="537" t="s">
        <v>1958</v>
      </c>
      <c r="O133" s="537" t="s">
        <v>1969</v>
      </c>
      <c r="P133" s="537" t="s">
        <v>241</v>
      </c>
      <c r="R133" s="69" t="s">
        <v>1971</v>
      </c>
      <c r="U133" s="69" t="s">
        <v>1973</v>
      </c>
      <c r="V133" s="531">
        <v>300000.0</v>
      </c>
    </row>
    <row r="134">
      <c r="B134" s="539" t="s">
        <v>1975</v>
      </c>
      <c r="D134" s="540">
        <v>8496400.0</v>
      </c>
      <c r="E134" s="536"/>
      <c r="H134" s="541"/>
      <c r="M134" s="200" t="s">
        <v>1978</v>
      </c>
      <c r="N134" s="525">
        <f>SUM(N3:N7)</f>
        <v>8566773.66</v>
      </c>
      <c r="O134" s="92"/>
      <c r="P134" s="92"/>
      <c r="U134" s="69" t="s">
        <v>1983</v>
      </c>
      <c r="V134" s="531">
        <v>200000.0</v>
      </c>
    </row>
    <row r="135">
      <c r="B135" s="543" t="s">
        <v>1984</v>
      </c>
      <c r="D135" s="544">
        <v>500000.0</v>
      </c>
      <c r="E135" s="536"/>
      <c r="M135" s="200" t="s">
        <v>1986</v>
      </c>
      <c r="N135" s="525">
        <f>SUM(N8:N17)</f>
        <v>20786258.44</v>
      </c>
      <c r="O135" s="545">
        <v>6610600.0</v>
      </c>
      <c r="P135" s="525">
        <f t="shared" ref="P135:P149" si="58">N135-O135</f>
        <v>14175658.44</v>
      </c>
      <c r="U135" s="530" t="s">
        <v>1989</v>
      </c>
      <c r="V135" s="128">
        <v>5240000.0</v>
      </c>
      <c r="W135" s="69" t="s">
        <v>1992</v>
      </c>
    </row>
    <row r="136">
      <c r="B136" s="546" t="s">
        <v>1993</v>
      </c>
      <c r="C136" s="69">
        <f>50000000/580000000</f>
        <v>0.08620689655</v>
      </c>
      <c r="D136" s="547">
        <f>SUM(D133-D134-D135)</f>
        <v>16604211.51</v>
      </c>
      <c r="E136" s="548" t="s">
        <v>1997</v>
      </c>
      <c r="F136" s="213"/>
      <c r="G136" s="213"/>
      <c r="M136" s="200" t="s">
        <v>1998</v>
      </c>
      <c r="N136" s="525">
        <f>SUM(N18:N26)</f>
        <v>20762471.45</v>
      </c>
      <c r="O136" s="545">
        <v>6440900.0</v>
      </c>
      <c r="P136" s="525">
        <f t="shared" si="58"/>
        <v>14321571.45</v>
      </c>
    </row>
    <row r="137">
      <c r="B137" s="358"/>
      <c r="D137" s="549">
        <f>D136*C136</f>
        <v>1431397.544</v>
      </c>
      <c r="E137" s="536"/>
      <c r="F137" s="529"/>
      <c r="G137" s="529"/>
      <c r="M137" s="200" t="s">
        <v>1930</v>
      </c>
      <c r="N137" s="525">
        <f>SUM(N27:N37)</f>
        <v>23302092.13</v>
      </c>
      <c r="O137" s="550">
        <v>7551152.0</v>
      </c>
      <c r="P137" s="525">
        <f t="shared" si="58"/>
        <v>15750940.13</v>
      </c>
    </row>
    <row r="138">
      <c r="B138" s="546" t="s">
        <v>2005</v>
      </c>
      <c r="C138" s="69">
        <f>50000000/600000000</f>
        <v>0.08333333333</v>
      </c>
      <c r="D138" s="547">
        <f>D133-D134-D135</f>
        <v>16604211.51</v>
      </c>
      <c r="E138" s="536"/>
      <c r="M138" s="200" t="s">
        <v>1936</v>
      </c>
      <c r="N138" s="525">
        <f>SUM(N38:N48)</f>
        <v>26479815.89</v>
      </c>
      <c r="O138" s="551">
        <v>1.260097701E7</v>
      </c>
      <c r="P138" s="525">
        <f t="shared" si="58"/>
        <v>13878838.88</v>
      </c>
    </row>
    <row r="139">
      <c r="B139" s="358"/>
      <c r="D139" s="549">
        <f>D138*C138</f>
        <v>1383684.292</v>
      </c>
      <c r="E139" s="536"/>
      <c r="M139" s="200" t="s">
        <v>1942</v>
      </c>
      <c r="N139" s="525">
        <f>SUM(N49:N55)</f>
        <v>21092644.88</v>
      </c>
      <c r="O139" s="554">
        <v>5000000.0</v>
      </c>
      <c r="P139" s="525">
        <f t="shared" si="58"/>
        <v>16092644.88</v>
      </c>
    </row>
    <row r="140" ht="15.75" customHeight="1">
      <c r="B140" s="555" t="s">
        <v>2024</v>
      </c>
      <c r="D140" s="556">
        <f>D136-(2*D137)</f>
        <v>13741416.42</v>
      </c>
      <c r="E140" s="536"/>
      <c r="M140" s="200" t="s">
        <v>2028</v>
      </c>
      <c r="N140" s="525">
        <f>SUM(N56:N64)</f>
        <v>21096046.32</v>
      </c>
      <c r="O140" s="550">
        <v>4974539.0</v>
      </c>
      <c r="P140" s="525">
        <f t="shared" si="58"/>
        <v>16121507.32</v>
      </c>
    </row>
    <row r="141" ht="15.75" customHeight="1">
      <c r="B141" s="557" t="s">
        <v>2035</v>
      </c>
      <c r="C141" s="558"/>
      <c r="D141" s="560">
        <f>D138-(2*D139)</f>
        <v>13836842.92</v>
      </c>
      <c r="E141" s="561"/>
      <c r="M141" s="200" t="s">
        <v>1962</v>
      </c>
      <c r="N141" s="525">
        <f>SUM(N65:N71)</f>
        <v>18505586.66</v>
      </c>
      <c r="O141" s="551">
        <v>7668600.0</v>
      </c>
      <c r="P141" s="525">
        <f t="shared" si="58"/>
        <v>10836986.66</v>
      </c>
    </row>
    <row r="142" ht="15.75" customHeight="1">
      <c r="M142" s="200" t="s">
        <v>1970</v>
      </c>
      <c r="N142" s="525">
        <f>SUM(N72:N80)</f>
        <v>21465748.87</v>
      </c>
      <c r="O142" s="551">
        <v>1.07026E7</v>
      </c>
      <c r="P142" s="525">
        <f t="shared" si="58"/>
        <v>10763148.87</v>
      </c>
    </row>
    <row r="143" ht="15.75" customHeight="1">
      <c r="M143" s="200" t="s">
        <v>2045</v>
      </c>
      <c r="N143" s="525">
        <f>SUM(N81:N85)</f>
        <v>13129920.74</v>
      </c>
      <c r="O143" s="551">
        <v>4725600.0</v>
      </c>
      <c r="P143" s="525">
        <f t="shared" si="58"/>
        <v>8404320.736</v>
      </c>
    </row>
    <row r="144" ht="15.75" customHeight="1">
      <c r="B144" s="564"/>
      <c r="C144" s="564"/>
      <c r="D144" s="564"/>
      <c r="E144" s="564"/>
      <c r="M144" s="200" t="s">
        <v>1987</v>
      </c>
      <c r="N144" s="525">
        <f>SUM(N86:N93)</f>
        <v>22461074.33</v>
      </c>
      <c r="O144" s="551">
        <v>2773600.0</v>
      </c>
      <c r="P144" s="525">
        <f t="shared" si="58"/>
        <v>19687474.33</v>
      </c>
      <c r="Q144" s="69" t="s">
        <v>2055</v>
      </c>
      <c r="R144" s="565">
        <v>805529.9999999984</v>
      </c>
    </row>
    <row r="145" ht="15.75" customHeight="1">
      <c r="B145" s="564"/>
      <c r="M145" s="200" t="s">
        <v>2056</v>
      </c>
      <c r="N145" s="525">
        <f>SUM(N94:N100)</f>
        <v>22238211.67</v>
      </c>
      <c r="O145" s="551">
        <v>1.20586E7</v>
      </c>
      <c r="P145" s="525">
        <f t="shared" si="58"/>
        <v>10179611.67</v>
      </c>
      <c r="Q145" s="69" t="s">
        <v>2058</v>
      </c>
      <c r="R145" s="567">
        <v>2060.0</v>
      </c>
    </row>
    <row r="146" ht="15.75" customHeight="1">
      <c r="B146" s="564"/>
      <c r="C146" s="564"/>
      <c r="D146" s="564"/>
      <c r="E146" s="564"/>
      <c r="M146" s="200" t="s">
        <v>1978</v>
      </c>
      <c r="N146" s="525">
        <f>SUM(N101:N108)</f>
        <v>20061437.68</v>
      </c>
      <c r="O146" s="554">
        <v>5000000.0</v>
      </c>
      <c r="P146" s="525">
        <f t="shared" si="58"/>
        <v>15061437.68</v>
      </c>
      <c r="Q146" s="274" t="s">
        <v>2063</v>
      </c>
      <c r="R146" s="128"/>
    </row>
    <row r="147" ht="15.75" customHeight="1">
      <c r="B147" s="564"/>
      <c r="C147" s="564"/>
      <c r="D147" s="564"/>
      <c r="E147" s="564"/>
      <c r="M147" s="200" t="s">
        <v>1986</v>
      </c>
      <c r="N147" s="525">
        <f>SUM(N109:N118)</f>
        <v>19870348.01</v>
      </c>
      <c r="O147" s="551">
        <v>1.363184E7</v>
      </c>
      <c r="P147" s="525">
        <f t="shared" si="58"/>
        <v>6238508.015</v>
      </c>
      <c r="Q147" s="69"/>
    </row>
    <row r="148" ht="15.75" customHeight="1">
      <c r="B148" s="564"/>
      <c r="C148" s="564"/>
      <c r="D148" s="564"/>
      <c r="E148" s="564"/>
      <c r="M148" s="200" t="s">
        <v>1998</v>
      </c>
      <c r="N148" s="525">
        <f>SUM(N119:N120)</f>
        <v>4179932.184</v>
      </c>
      <c r="O148" s="550"/>
      <c r="P148" s="525">
        <f t="shared" si="58"/>
        <v>4179932.184</v>
      </c>
      <c r="Q148" s="69"/>
    </row>
    <row r="149" ht="15.75" customHeight="1">
      <c r="B149" s="575" t="s">
        <v>2069</v>
      </c>
      <c r="C149" s="577"/>
      <c r="D149" s="577"/>
      <c r="E149" s="578"/>
      <c r="M149" s="200" t="s">
        <v>2071</v>
      </c>
      <c r="N149" s="525">
        <f>SUM(N127:N128)</f>
        <v>2163639.622</v>
      </c>
      <c r="O149" s="550"/>
      <c r="P149" s="525">
        <f t="shared" si="58"/>
        <v>2163639.622</v>
      </c>
      <c r="Q149" s="69"/>
    </row>
    <row r="150" ht="15.75" customHeight="1">
      <c r="B150" s="581"/>
      <c r="C150" s="581"/>
      <c r="D150" s="581"/>
      <c r="E150" s="581"/>
      <c r="M150" s="200"/>
      <c r="N150" s="525"/>
      <c r="O150" s="584"/>
      <c r="P150" s="92"/>
      <c r="Q150" s="69"/>
    </row>
    <row r="151" ht="15.75" customHeight="1">
      <c r="B151" s="581"/>
      <c r="C151" s="581"/>
      <c r="D151" s="581"/>
      <c r="E151" s="581"/>
      <c r="M151" s="200"/>
      <c r="N151" s="525"/>
      <c r="O151" s="584"/>
      <c r="P151" s="92"/>
      <c r="Q151" s="69"/>
    </row>
    <row r="152" ht="15.75" customHeight="1">
      <c r="B152" s="533" t="s">
        <v>1958</v>
      </c>
      <c r="D152" s="587">
        <v>2.0E7</v>
      </c>
      <c r="E152" s="536"/>
      <c r="M152" s="92"/>
      <c r="N152" s="525">
        <f t="shared" ref="N152:O152" si="59">SUM(N134:N148)</f>
        <v>283998362.9</v>
      </c>
      <c r="O152" s="525">
        <f t="shared" si="59"/>
        <v>99739008.01</v>
      </c>
      <c r="P152" s="525">
        <f>SUM(P134:P145)</f>
        <v>150212703.4</v>
      </c>
      <c r="X152" s="69"/>
      <c r="Y152" s="69"/>
      <c r="Z152" s="69"/>
    </row>
    <row r="153" ht="15.75" customHeight="1">
      <c r="B153" s="539" t="s">
        <v>2073</v>
      </c>
      <c r="D153" s="540">
        <v>5000000.0</v>
      </c>
      <c r="E153" s="536"/>
      <c r="Q153" s="528">
        <v>1.363184E7</v>
      </c>
    </row>
    <row r="154" ht="15.75" customHeight="1">
      <c r="D154" s="571">
        <f>D152-D153</f>
        <v>15000000</v>
      </c>
      <c r="E154" s="536"/>
    </row>
    <row r="155" ht="15.75" customHeight="1">
      <c r="B155" s="543" t="s">
        <v>1984</v>
      </c>
      <c r="C155" s="600">
        <v>0.05</v>
      </c>
      <c r="D155" s="571">
        <f>D154*C155</f>
        <v>750000</v>
      </c>
      <c r="E155" s="536"/>
    </row>
    <row r="156" ht="15.75" customHeight="1">
      <c r="B156" s="546" t="s">
        <v>1993</v>
      </c>
      <c r="C156" s="69">
        <f>50000000/580000000</f>
        <v>0.08620689655</v>
      </c>
      <c r="D156" s="547">
        <f>D154-D155</f>
        <v>14250000</v>
      </c>
      <c r="E156" s="607">
        <f>D154</f>
        <v>15000000</v>
      </c>
      <c r="F156" s="69" t="s">
        <v>2079</v>
      </c>
      <c r="G156" s="69"/>
    </row>
    <row r="157" ht="15.75" customHeight="1">
      <c r="B157" s="358"/>
      <c r="D157" s="608">
        <f>C156*D156</f>
        <v>1228448.276</v>
      </c>
      <c r="E157" s="609">
        <f>C156*E156</f>
        <v>1293103.448</v>
      </c>
      <c r="F157" s="213"/>
      <c r="G157" s="213"/>
    </row>
    <row r="158" ht="15.75" customHeight="1">
      <c r="B158" s="546" t="s">
        <v>2082</v>
      </c>
      <c r="C158" s="69">
        <f>75000000/580000000</f>
        <v>0.1293103448</v>
      </c>
      <c r="D158" s="547">
        <f>D154-D155</f>
        <v>14250000</v>
      </c>
      <c r="E158" s="607">
        <v>1.5E7</v>
      </c>
    </row>
    <row r="159" ht="15.75" customHeight="1">
      <c r="B159" s="358"/>
      <c r="D159" s="608">
        <f>C158*D158</f>
        <v>1842672.414</v>
      </c>
      <c r="E159" s="609">
        <f>C158*E158</f>
        <v>1939655.172</v>
      </c>
    </row>
    <row r="160" ht="15.75" customHeight="1">
      <c r="B160" s="546" t="s">
        <v>2083</v>
      </c>
      <c r="C160" s="69">
        <f>4000000/580000000</f>
        <v>0.006896551724</v>
      </c>
      <c r="D160" s="547">
        <f>D154-D155</f>
        <v>14250000</v>
      </c>
      <c r="E160" s="607">
        <v>1.5E7</v>
      </c>
    </row>
    <row r="161" ht="15.75" customHeight="1">
      <c r="B161" s="356"/>
      <c r="C161" s="69"/>
      <c r="D161" s="608">
        <f>C160*D160</f>
        <v>98275.86207</v>
      </c>
      <c r="E161" s="609">
        <f>C160*E160</f>
        <v>103448.2759</v>
      </c>
    </row>
    <row r="162" ht="15.75" customHeight="1">
      <c r="B162" s="557" t="s">
        <v>2086</v>
      </c>
      <c r="C162" s="558"/>
      <c r="D162" s="560">
        <f t="shared" ref="D162:E162" si="60">D156-(2*D157)-D161</f>
        <v>11694827.59</v>
      </c>
      <c r="E162" s="612">
        <f t="shared" si="60"/>
        <v>12310344.83</v>
      </c>
    </row>
    <row r="163" ht="15.75" customHeight="1"/>
    <row r="164" ht="15.75" customHeight="1"/>
    <row r="165" ht="15.75" customHeight="1">
      <c r="B165" s="532" t="s">
        <v>2088</v>
      </c>
      <c r="C165" s="132"/>
      <c r="D165" s="133"/>
      <c r="E165" s="564"/>
      <c r="I165" s="69"/>
      <c r="M165" s="231"/>
    </row>
    <row r="166" ht="15.75" customHeight="1">
      <c r="B166" s="293" t="s">
        <v>1958</v>
      </c>
      <c r="C166" s="92"/>
      <c r="D166" s="613">
        <f>SUM(N137)</f>
        <v>23302092.13</v>
      </c>
      <c r="M166" s="231"/>
    </row>
    <row r="167" ht="15.75" customHeight="1">
      <c r="B167" s="496" t="s">
        <v>2091</v>
      </c>
      <c r="C167" s="92"/>
      <c r="D167" s="550">
        <v>7429052.0</v>
      </c>
      <c r="E167" s="614"/>
      <c r="F167" s="69"/>
      <c r="G167" s="69"/>
      <c r="M167" s="231"/>
    </row>
    <row r="168" ht="15.75" customHeight="1">
      <c r="B168" s="208"/>
      <c r="C168" s="92"/>
      <c r="D168" s="615">
        <f>D166-D167</f>
        <v>15873040.13</v>
      </c>
      <c r="E168" s="213"/>
      <c r="M168" s="231"/>
    </row>
    <row r="169" ht="15.75" customHeight="1">
      <c r="B169" s="237" t="s">
        <v>1984</v>
      </c>
      <c r="C169" s="616">
        <v>0.05</v>
      </c>
      <c r="D169" s="233">
        <f>D168*C169</f>
        <v>793652.0063</v>
      </c>
      <c r="E169" s="529"/>
      <c r="M169" s="231"/>
    </row>
    <row r="170" ht="15.75" customHeight="1">
      <c r="B170" s="617" t="s">
        <v>2097</v>
      </c>
      <c r="C170" s="208">
        <f>50000000/580000000</f>
        <v>0.08620689655</v>
      </c>
      <c r="D170" s="618">
        <f>D168-D169</f>
        <v>15079388.12</v>
      </c>
      <c r="E170" s="213"/>
      <c r="M170" s="231"/>
    </row>
    <row r="171" ht="15.75" customHeight="1">
      <c r="B171" s="92"/>
      <c r="C171" s="92"/>
      <c r="D171" s="619">
        <f>D170*C170</f>
        <v>1299947.252</v>
      </c>
      <c r="E171" s="529"/>
      <c r="M171" s="231"/>
    </row>
    <row r="172" ht="15.75" customHeight="1">
      <c r="B172" s="617" t="s">
        <v>2101</v>
      </c>
      <c r="C172" s="208">
        <f>75000000/580000000</f>
        <v>0.1293103448</v>
      </c>
      <c r="D172" s="618">
        <f>D168-D169</f>
        <v>15079388.12</v>
      </c>
      <c r="E172" s="213"/>
      <c r="M172" s="231"/>
    </row>
    <row r="173" ht="15.75" customHeight="1">
      <c r="B173" s="92"/>
      <c r="C173" s="92"/>
      <c r="D173" s="619">
        <f>D172*C172</f>
        <v>1949920.878</v>
      </c>
      <c r="E173" s="529"/>
      <c r="M173" s="231"/>
    </row>
    <row r="174" ht="15.75" customHeight="1">
      <c r="B174" s="532" t="s">
        <v>2103</v>
      </c>
      <c r="C174" s="132"/>
      <c r="D174" s="133"/>
      <c r="E174" s="564"/>
      <c r="M174" s="231"/>
    </row>
    <row r="175" ht="15.75" customHeight="1">
      <c r="B175" s="293" t="s">
        <v>2105</v>
      </c>
      <c r="C175" s="92"/>
      <c r="D175" s="525">
        <f>SUM(N35:N37)</f>
        <v>3810598.981</v>
      </c>
      <c r="M175" s="231"/>
    </row>
    <row r="176" ht="15.75" customHeight="1">
      <c r="B176" s="496" t="s">
        <v>2107</v>
      </c>
      <c r="C176" s="92"/>
      <c r="D176" s="525">
        <v>680000.0</v>
      </c>
      <c r="M176" s="231"/>
    </row>
    <row r="177" ht="15.75" customHeight="1">
      <c r="B177" s="208"/>
      <c r="C177" s="92"/>
      <c r="D177" s="615">
        <f>D175-D176</f>
        <v>3130598.981</v>
      </c>
      <c r="M177" s="231"/>
    </row>
    <row r="178" ht="15.75" customHeight="1">
      <c r="B178" s="237" t="s">
        <v>1984</v>
      </c>
      <c r="C178" s="616">
        <v>0.05</v>
      </c>
      <c r="D178" s="233">
        <f>D177*C178</f>
        <v>156529.9491</v>
      </c>
      <c r="M178" s="231"/>
    </row>
    <row r="179" ht="15.75" customHeight="1">
      <c r="B179" s="617" t="s">
        <v>2110</v>
      </c>
      <c r="C179" s="208">
        <f>4000000/580000000</f>
        <v>0.006896551724</v>
      </c>
      <c r="D179" s="618">
        <f>D177-D178</f>
        <v>2974069.032</v>
      </c>
      <c r="M179" s="231"/>
    </row>
    <row r="180" ht="15.75" customHeight="1">
      <c r="B180" s="92"/>
      <c r="C180" s="92"/>
      <c r="D180" s="619">
        <f>C179*D179</f>
        <v>20510.82091</v>
      </c>
      <c r="M180" s="231"/>
    </row>
    <row r="181" ht="15.75" customHeight="1">
      <c r="B181" s="620" t="s">
        <v>2086</v>
      </c>
      <c r="C181" s="92"/>
      <c r="D181" s="545">
        <f>D170-D171-D173-D180</f>
        <v>11809009.17</v>
      </c>
      <c r="E181" s="213"/>
      <c r="M181" s="231"/>
    </row>
    <row r="182" ht="15.75" customHeight="1">
      <c r="B182" s="237" t="s">
        <v>2112</v>
      </c>
      <c r="C182" s="92"/>
      <c r="D182" s="615">
        <f>D181+D169</f>
        <v>12602661.18</v>
      </c>
      <c r="M182" s="231"/>
    </row>
    <row r="183" ht="15.75" customHeight="1">
      <c r="B183" s="208" t="s">
        <v>2113</v>
      </c>
      <c r="C183" s="92"/>
      <c r="D183" s="525">
        <f>D169+D171+D173+D180+D181</f>
        <v>15873040.13</v>
      </c>
      <c r="M183" s="231"/>
    </row>
    <row r="184" ht="15.75" customHeight="1">
      <c r="M184" s="231"/>
    </row>
    <row r="185" ht="15.75" customHeight="1">
      <c r="M185" s="231"/>
    </row>
    <row r="186" ht="15.75" customHeight="1">
      <c r="B186" s="621" t="s">
        <v>2114</v>
      </c>
      <c r="C186" s="132"/>
      <c r="D186" s="133"/>
      <c r="E186" s="564"/>
      <c r="M186" s="231"/>
    </row>
    <row r="187" ht="15.75" customHeight="1">
      <c r="B187" s="293" t="s">
        <v>1958</v>
      </c>
      <c r="C187" s="92"/>
      <c r="D187" s="613">
        <v>2.3302092126599997E7</v>
      </c>
      <c r="M187" s="231"/>
    </row>
    <row r="188" ht="15.75" customHeight="1">
      <c r="B188" s="496" t="s">
        <v>2091</v>
      </c>
      <c r="C188" s="92"/>
      <c r="D188" s="550">
        <v>7551152.0</v>
      </c>
      <c r="E188" s="614"/>
      <c r="M188" s="231"/>
    </row>
    <row r="189" ht="15.75" customHeight="1">
      <c r="B189" s="208"/>
      <c r="C189" s="92"/>
      <c r="D189" s="615">
        <f>D187-D188</f>
        <v>15750940.13</v>
      </c>
      <c r="E189" s="213"/>
      <c r="M189" s="231"/>
    </row>
    <row r="190" ht="15.75" customHeight="1">
      <c r="B190" s="237" t="s">
        <v>1984</v>
      </c>
      <c r="C190" s="616">
        <v>0.05</v>
      </c>
      <c r="D190" s="233">
        <f>D189*C190</f>
        <v>787547.0063</v>
      </c>
      <c r="M190" s="231"/>
    </row>
    <row r="191" ht="15.75" customHeight="1">
      <c r="B191" s="617" t="s">
        <v>2097</v>
      </c>
      <c r="C191" s="208">
        <f>50000000/580000000</f>
        <v>0.08620689655</v>
      </c>
      <c r="D191" s="618">
        <f>D189-D190</f>
        <v>14963393.12</v>
      </c>
      <c r="E191" s="622" t="s">
        <v>2122</v>
      </c>
      <c r="M191" s="231"/>
    </row>
    <row r="192" ht="15.75" customHeight="1">
      <c r="B192" s="92"/>
      <c r="C192" s="92"/>
      <c r="D192" s="619">
        <f>D191*C191</f>
        <v>1289947.683</v>
      </c>
      <c r="E192" s="601">
        <f>D171-D192</f>
        <v>9999.568966</v>
      </c>
      <c r="M192" s="231"/>
    </row>
    <row r="193" ht="15.75" customHeight="1">
      <c r="B193" s="617" t="s">
        <v>2101</v>
      </c>
      <c r="C193" s="208">
        <f>75000000/580000000</f>
        <v>0.1293103448</v>
      </c>
      <c r="D193" s="618">
        <f>D189-D190</f>
        <v>14963393.12</v>
      </c>
      <c r="E193" s="529"/>
      <c r="M193" s="231"/>
    </row>
    <row r="194" ht="15.75" customHeight="1">
      <c r="B194" s="92"/>
      <c r="C194" s="92"/>
      <c r="D194" s="619">
        <f>D193*C193</f>
        <v>1934921.524</v>
      </c>
      <c r="E194" s="601">
        <f>D173-D194</f>
        <v>14999.35345</v>
      </c>
      <c r="M194" s="231"/>
    </row>
    <row r="195" ht="15.75" customHeight="1">
      <c r="B195" s="621" t="s">
        <v>2103</v>
      </c>
      <c r="C195" s="132"/>
      <c r="D195" s="133"/>
      <c r="E195" s="564"/>
      <c r="M195" s="231"/>
    </row>
    <row r="196" ht="15.75" customHeight="1">
      <c r="B196" s="293" t="s">
        <v>2105</v>
      </c>
      <c r="C196" s="92"/>
      <c r="D196" s="525">
        <f>SUM(N35:N37)</f>
        <v>3810598.981</v>
      </c>
      <c r="M196" s="231"/>
    </row>
    <row r="197" ht="15.75" customHeight="1">
      <c r="B197" s="496" t="s">
        <v>2107</v>
      </c>
      <c r="C197" s="92"/>
      <c r="D197" s="525">
        <v>680000.0</v>
      </c>
      <c r="M197" s="231"/>
    </row>
    <row r="198" ht="15.75" customHeight="1">
      <c r="B198" s="208"/>
      <c r="C198" s="92"/>
      <c r="D198" s="615">
        <f>D196-D197</f>
        <v>3130598.981</v>
      </c>
      <c r="M198" s="231"/>
    </row>
    <row r="199" ht="15.75" customHeight="1">
      <c r="B199" s="237" t="s">
        <v>1984</v>
      </c>
      <c r="C199" s="616">
        <v>0.05</v>
      </c>
      <c r="D199" s="233">
        <f>D198*C199</f>
        <v>156529.9491</v>
      </c>
      <c r="M199" s="231"/>
    </row>
    <row r="200" ht="15.75" customHeight="1">
      <c r="B200" s="617" t="s">
        <v>2110</v>
      </c>
      <c r="C200" s="208">
        <f>4000000/580000000</f>
        <v>0.006896551724</v>
      </c>
      <c r="D200" s="618">
        <f>D198-D199</f>
        <v>2974069.032</v>
      </c>
      <c r="E200" s="213"/>
      <c r="M200" s="231"/>
    </row>
    <row r="201" ht="15.75" customHeight="1">
      <c r="B201" s="92"/>
      <c r="C201" s="92"/>
      <c r="D201" s="619">
        <f>C200*D200</f>
        <v>20510.82091</v>
      </c>
      <c r="M201" s="231"/>
    </row>
    <row r="202" ht="15.75" customHeight="1">
      <c r="B202" s="620" t="s">
        <v>2086</v>
      </c>
      <c r="C202" s="92"/>
      <c r="D202" s="545">
        <f>D191-D192-D194-D201</f>
        <v>11718013.09</v>
      </c>
      <c r="E202" s="213"/>
      <c r="M202" s="231"/>
    </row>
    <row r="203" ht="15.75" customHeight="1">
      <c r="B203" s="237" t="s">
        <v>2112</v>
      </c>
      <c r="C203" s="92"/>
      <c r="D203" s="615">
        <f>D202+D190</f>
        <v>12505560.1</v>
      </c>
      <c r="M203" s="231"/>
    </row>
    <row r="204" ht="15.75" customHeight="1">
      <c r="B204" s="208" t="s">
        <v>2113</v>
      </c>
      <c r="C204" s="92"/>
      <c r="D204" s="525">
        <f>D190+D192+D194+D201+D202</f>
        <v>15750940.13</v>
      </c>
      <c r="M204" s="231"/>
    </row>
    <row r="205" ht="15.75" customHeight="1">
      <c r="M205" s="231"/>
    </row>
    <row r="206" ht="15.75" customHeight="1">
      <c r="M206" s="231"/>
    </row>
    <row r="207" ht="15.75" customHeight="1">
      <c r="B207" s="532" t="s">
        <v>2139</v>
      </c>
      <c r="C207" s="132"/>
      <c r="D207" s="133"/>
      <c r="M207" s="231"/>
    </row>
    <row r="208" ht="15.75" customHeight="1">
      <c r="B208" s="293" t="s">
        <v>1958</v>
      </c>
      <c r="C208" s="92"/>
      <c r="D208" s="613">
        <v>2.8133013538240004E7</v>
      </c>
      <c r="G208" s="69" t="s">
        <v>2141</v>
      </c>
      <c r="H208" s="623">
        <v>2.647981589E7</v>
      </c>
      <c r="M208" s="231"/>
    </row>
    <row r="209" ht="15.75" customHeight="1">
      <c r="B209" s="496" t="s">
        <v>2144</v>
      </c>
      <c r="C209" s="92"/>
      <c r="D209" s="551">
        <v>1.260097701E7</v>
      </c>
      <c r="H209" s="551">
        <v>1.260097701E7</v>
      </c>
      <c r="M209" s="231"/>
    </row>
    <row r="210" ht="15.75" customHeight="1">
      <c r="B210" s="208"/>
      <c r="C210" s="92"/>
      <c r="D210" s="615">
        <f>D208-D209</f>
        <v>15532036.53</v>
      </c>
      <c r="H210" s="615">
        <f>H208-H209</f>
        <v>13878838.88</v>
      </c>
      <c r="I210" s="485" t="s">
        <v>2148</v>
      </c>
      <c r="M210" s="231"/>
    </row>
    <row r="211" ht="15.75" customHeight="1">
      <c r="B211" s="237" t="s">
        <v>1984</v>
      </c>
      <c r="C211" s="616">
        <v>0.05</v>
      </c>
      <c r="D211" s="233">
        <f>D210*C211</f>
        <v>776601.8264</v>
      </c>
      <c r="H211" s="233">
        <f>H210*C211</f>
        <v>693941.944</v>
      </c>
      <c r="I211" s="213">
        <f>H211-D211</f>
        <v>-82659.88241</v>
      </c>
      <c r="M211" s="231"/>
    </row>
    <row r="212" ht="15.75" customHeight="1">
      <c r="B212" s="617" t="s">
        <v>2097</v>
      </c>
      <c r="C212" s="208">
        <f>50000000/580000000</f>
        <v>0.08620689655</v>
      </c>
      <c r="D212" s="618">
        <f>D210-D211</f>
        <v>14755434.7</v>
      </c>
      <c r="E212" s="624" t="s">
        <v>2152</v>
      </c>
      <c r="H212" s="618">
        <f>H210-H211</f>
        <v>13184896.94</v>
      </c>
      <c r="M212" s="231"/>
    </row>
    <row r="213" ht="15.75" customHeight="1">
      <c r="B213" s="92"/>
      <c r="C213" s="92"/>
      <c r="D213" s="619">
        <f>D212*C212</f>
        <v>1272020.233</v>
      </c>
      <c r="E213" s="570">
        <f>SUM(D213-E192)</f>
        <v>1262020.664</v>
      </c>
      <c r="H213" s="619">
        <f>H212*C212</f>
        <v>1136629.046</v>
      </c>
      <c r="I213" s="213">
        <f>H213-E213</f>
        <v>-125391.6177</v>
      </c>
      <c r="M213" s="231"/>
    </row>
    <row r="214" ht="15.75" customHeight="1">
      <c r="B214" s="617" t="s">
        <v>2101</v>
      </c>
      <c r="C214" s="208">
        <f>75000000/580000000</f>
        <v>0.1293103448</v>
      </c>
      <c r="D214" s="618">
        <f>D210-D211</f>
        <v>14755434.7</v>
      </c>
      <c r="H214" s="618">
        <f>H210-H211</f>
        <v>13184896.94</v>
      </c>
      <c r="M214" s="231"/>
    </row>
    <row r="215" ht="15.75" customHeight="1">
      <c r="B215" s="92"/>
      <c r="C215" s="92"/>
      <c r="D215" s="619">
        <f>D214*C214</f>
        <v>1908030.349</v>
      </c>
      <c r="E215" s="570">
        <f>SUM(D215-E194)</f>
        <v>1893030.996</v>
      </c>
      <c r="H215" s="619">
        <f>H214*C214</f>
        <v>1704943.569</v>
      </c>
      <c r="I215" s="350">
        <f>H215-E215</f>
        <v>-188087.4266</v>
      </c>
      <c r="M215" s="231"/>
    </row>
    <row r="216" ht="15.75" customHeight="1">
      <c r="B216" s="617" t="s">
        <v>2110</v>
      </c>
      <c r="C216" s="208">
        <f>4000000/580000000</f>
        <v>0.006896551724</v>
      </c>
      <c r="D216" s="618">
        <f>D210-D211</f>
        <v>14755434.7</v>
      </c>
      <c r="H216" s="618">
        <f>H210-H211</f>
        <v>13184896.94</v>
      </c>
      <c r="M216" s="231"/>
    </row>
    <row r="217" ht="15.75" customHeight="1">
      <c r="B217" s="92"/>
      <c r="C217" s="92"/>
      <c r="D217" s="627">
        <f>D216*C216</f>
        <v>101761.6186</v>
      </c>
      <c r="H217" s="619">
        <f>H216*C216</f>
        <v>90930.3237</v>
      </c>
      <c r="I217" s="350">
        <f>H217-D217</f>
        <v>-10831.29494</v>
      </c>
      <c r="M217" s="231"/>
    </row>
    <row r="218" ht="15.75" customHeight="1">
      <c r="B218" s="620" t="s">
        <v>2086</v>
      </c>
      <c r="C218" s="92"/>
      <c r="D218" s="545">
        <f>D212-D213-D215-D217</f>
        <v>11473622.5</v>
      </c>
      <c r="H218" s="545">
        <f>H212-H213-H215-H217</f>
        <v>10252394</v>
      </c>
      <c r="M218" s="231"/>
    </row>
    <row r="219" ht="15.75" customHeight="1">
      <c r="B219" s="237" t="s">
        <v>2112</v>
      </c>
      <c r="C219" s="92"/>
      <c r="D219" s="615">
        <f>D218+D211</f>
        <v>12250224.33</v>
      </c>
      <c r="H219" s="615">
        <f>H218+H211</f>
        <v>10946335.94</v>
      </c>
      <c r="M219" s="231"/>
    </row>
    <row r="220" ht="15.75" customHeight="1">
      <c r="B220" s="208" t="s">
        <v>2113</v>
      </c>
      <c r="C220" s="92"/>
      <c r="D220" s="525">
        <f>D211+D213+D215+D217+D218</f>
        <v>15532036.53</v>
      </c>
      <c r="H220" s="525">
        <f>H211+H213+H215+H217+H218</f>
        <v>13878838.88</v>
      </c>
      <c r="M220" s="231"/>
    </row>
    <row r="221" ht="15.75" customHeight="1">
      <c r="M221" s="231"/>
    </row>
    <row r="222" ht="15.75" customHeight="1">
      <c r="M222" s="231"/>
    </row>
    <row r="223" ht="15.75" customHeight="1">
      <c r="B223" s="532" t="s">
        <v>2160</v>
      </c>
      <c r="C223" s="132"/>
      <c r="D223" s="133"/>
      <c r="M223" s="231"/>
    </row>
    <row r="224" ht="15.75" customHeight="1">
      <c r="B224" s="293" t="s">
        <v>1958</v>
      </c>
      <c r="C224" s="92"/>
      <c r="D224" s="613">
        <v>2.1092644876E7</v>
      </c>
      <c r="F224" s="69" t="s">
        <v>2161</v>
      </c>
      <c r="G224" s="69"/>
      <c r="H224" s="69" t="s">
        <v>2162</v>
      </c>
      <c r="M224" s="231"/>
    </row>
    <row r="225" ht="15.75" customHeight="1">
      <c r="B225" s="496" t="s">
        <v>2163</v>
      </c>
      <c r="C225" s="92"/>
      <c r="D225" s="551">
        <v>3430939.0</v>
      </c>
      <c r="E225" s="554">
        <v>5000000.0</v>
      </c>
      <c r="F225" s="274" t="s">
        <v>2165</v>
      </c>
      <c r="G225" s="274"/>
      <c r="H225" s="535">
        <f>E225-D225</f>
        <v>1569061</v>
      </c>
      <c r="M225" s="231"/>
    </row>
    <row r="226" ht="15.75" customHeight="1">
      <c r="B226" s="208"/>
      <c r="C226" s="92"/>
      <c r="D226" s="615">
        <f>D224-D225</f>
        <v>17661705.88</v>
      </c>
      <c r="E226" s="615">
        <f>D224-E225</f>
        <v>16092644.88</v>
      </c>
      <c r="M226" s="231"/>
    </row>
    <row r="227" ht="15.75" customHeight="1">
      <c r="B227" s="237" t="s">
        <v>1984</v>
      </c>
      <c r="C227" s="616">
        <v>0.05</v>
      </c>
      <c r="D227" s="233">
        <f>D226*C227</f>
        <v>883085.2938</v>
      </c>
      <c r="E227" s="233">
        <f>E226*C227</f>
        <v>804632.2438</v>
      </c>
      <c r="M227" s="231"/>
    </row>
    <row r="228" ht="15.75" customHeight="1">
      <c r="B228" s="617" t="s">
        <v>2097</v>
      </c>
      <c r="C228" s="208">
        <f>50000000/580000000</f>
        <v>0.08620689655</v>
      </c>
      <c r="D228" s="618">
        <f t="shared" ref="D228:E228" si="61">D226-D227</f>
        <v>16778620.58</v>
      </c>
      <c r="E228" s="618">
        <f t="shared" si="61"/>
        <v>15288012.63</v>
      </c>
      <c r="M228" s="231"/>
    </row>
    <row r="229" ht="15.75" customHeight="1">
      <c r="B229" s="92"/>
      <c r="C229" s="92"/>
      <c r="D229" s="619">
        <f>D228*C228</f>
        <v>1446432.809</v>
      </c>
      <c r="E229" s="619">
        <f>E228*C228</f>
        <v>1317932.123</v>
      </c>
      <c r="M229" s="231"/>
    </row>
    <row r="230" ht="15.75" customHeight="1">
      <c r="B230" s="617" t="s">
        <v>2101</v>
      </c>
      <c r="C230" s="208">
        <f>75000000/580000000</f>
        <v>0.1293103448</v>
      </c>
      <c r="D230" s="618">
        <f>D226-D227</f>
        <v>16778620.58</v>
      </c>
      <c r="E230" s="618">
        <f>E226-C230</f>
        <v>16092644.75</v>
      </c>
      <c r="M230" s="231"/>
    </row>
    <row r="231" ht="15.75" customHeight="1">
      <c r="B231" s="92"/>
      <c r="C231" s="92"/>
      <c r="D231" s="619">
        <f>D230*C230</f>
        <v>2169649.213</v>
      </c>
      <c r="E231" s="619">
        <f>E230*C230</f>
        <v>2080945.441</v>
      </c>
      <c r="M231" s="231"/>
    </row>
    <row r="232" ht="15.75" customHeight="1">
      <c r="B232" s="617" t="s">
        <v>2110</v>
      </c>
      <c r="C232" s="208">
        <f>4000000/580000000</f>
        <v>0.006896551724</v>
      </c>
      <c r="D232" s="618">
        <f t="shared" ref="D232:E232" si="62">D226-D227</f>
        <v>16778620.58</v>
      </c>
      <c r="E232" s="618">
        <f t="shared" si="62"/>
        <v>15288012.63</v>
      </c>
      <c r="M232" s="231"/>
    </row>
    <row r="233" ht="15.75" customHeight="1">
      <c r="B233" s="92"/>
      <c r="C233" s="92"/>
      <c r="D233" s="619">
        <f>D232*C232</f>
        <v>115714.6247</v>
      </c>
      <c r="E233" s="619">
        <f>E232*C232</f>
        <v>105434.5699</v>
      </c>
      <c r="M233" s="231"/>
    </row>
    <row r="234" ht="15.75" customHeight="1">
      <c r="B234" s="620" t="s">
        <v>2086</v>
      </c>
      <c r="C234" s="92"/>
      <c r="D234" s="545">
        <f t="shared" ref="D234:E234" si="63">D228-D229-D231-D233</f>
        <v>13046823.94</v>
      </c>
      <c r="E234" s="545">
        <f t="shared" si="63"/>
        <v>11783700.5</v>
      </c>
      <c r="M234" s="231"/>
    </row>
    <row r="235" ht="15.75" customHeight="1">
      <c r="B235" s="237" t="s">
        <v>2112</v>
      </c>
      <c r="C235" s="92"/>
      <c r="D235" s="615">
        <f t="shared" ref="D235:E235" si="64">D234+D227</f>
        <v>13929909.23</v>
      </c>
      <c r="E235" s="615">
        <f t="shared" si="64"/>
        <v>12588332.74</v>
      </c>
      <c r="M235" s="231"/>
    </row>
    <row r="236" ht="15.75" customHeight="1">
      <c r="B236" s="208" t="s">
        <v>2113</v>
      </c>
      <c r="C236" s="92"/>
      <c r="D236" s="525">
        <f t="shared" ref="D236:E236" si="65">D227+D229+D231+D233+D234</f>
        <v>17661705.88</v>
      </c>
      <c r="E236" s="525">
        <f t="shared" si="65"/>
        <v>16092644.88</v>
      </c>
      <c r="M236" s="231"/>
    </row>
    <row r="237" ht="15.75" customHeight="1">
      <c r="M237" s="231"/>
    </row>
    <row r="238" ht="15.75" customHeight="1">
      <c r="M238" s="231"/>
    </row>
    <row r="239" ht="15.75" customHeight="1">
      <c r="B239" s="532" t="s">
        <v>2179</v>
      </c>
      <c r="C239" s="132"/>
      <c r="D239" s="133"/>
      <c r="E239" s="624" t="s">
        <v>2182</v>
      </c>
      <c r="H239" s="69" t="s">
        <v>2183</v>
      </c>
      <c r="M239" s="231"/>
    </row>
    <row r="240" ht="15.75" customHeight="1">
      <c r="B240" s="293" t="s">
        <v>1958</v>
      </c>
      <c r="C240" s="92"/>
      <c r="D240" s="535">
        <v>2.10960463228E7</v>
      </c>
      <c r="E240" s="630" t="s">
        <v>2148</v>
      </c>
      <c r="H240" s="535">
        <v>2.10960463228E7</v>
      </c>
      <c r="I240" s="630" t="s">
        <v>2148</v>
      </c>
      <c r="M240" s="231"/>
    </row>
    <row r="241" ht="15.75" customHeight="1">
      <c r="B241" s="496" t="s">
        <v>2185</v>
      </c>
      <c r="C241" s="92"/>
      <c r="D241" s="550">
        <v>4974539.0</v>
      </c>
      <c r="F241" s="69"/>
      <c r="G241" s="69"/>
      <c r="H241" s="550">
        <v>5034539.0</v>
      </c>
      <c r="M241" s="231"/>
    </row>
    <row r="242" ht="15.75" customHeight="1">
      <c r="B242" s="208"/>
      <c r="C242" s="92"/>
      <c r="D242" s="615">
        <f>D240-D241</f>
        <v>16121507.32</v>
      </c>
      <c r="E242" s="213"/>
      <c r="H242" s="615">
        <f>H240-H241</f>
        <v>16061507.32</v>
      </c>
      <c r="I242" s="213"/>
      <c r="M242" s="231"/>
    </row>
    <row r="243" ht="15.75" customHeight="1">
      <c r="B243" s="237" t="s">
        <v>1984</v>
      </c>
      <c r="C243" s="616">
        <v>0.05</v>
      </c>
      <c r="D243" s="632">
        <f>D242*C243</f>
        <v>806075.3661</v>
      </c>
      <c r="E243" s="358"/>
      <c r="F243" s="552"/>
      <c r="G243" s="552"/>
      <c r="H243" s="233">
        <f>H242*C243</f>
        <v>803075.3661</v>
      </c>
      <c r="M243" s="231"/>
    </row>
    <row r="244" ht="15.75" customHeight="1">
      <c r="B244" s="617" t="s">
        <v>2097</v>
      </c>
      <c r="C244" s="208">
        <f>50000000/580000000</f>
        <v>0.08620689655</v>
      </c>
      <c r="D244" s="618">
        <f>D242-D243</f>
        <v>15315431.96</v>
      </c>
      <c r="E244" s="213">
        <v>-125391.61774379341</v>
      </c>
      <c r="H244" s="618">
        <f>H242-H243</f>
        <v>15258431.96</v>
      </c>
      <c r="I244" s="213">
        <v>-125391.61774379341</v>
      </c>
      <c r="M244" s="231"/>
    </row>
    <row r="245" ht="15.75" customHeight="1">
      <c r="B245" s="92"/>
      <c r="C245" s="92"/>
      <c r="D245" s="619">
        <f>D244*C244</f>
        <v>1320295.858</v>
      </c>
      <c r="E245" s="570">
        <f>D245+E244</f>
        <v>1194904.241</v>
      </c>
      <c r="H245" s="619">
        <f>H244*C244</f>
        <v>1315382.065</v>
      </c>
      <c r="I245" s="570">
        <f>H245+I244</f>
        <v>1189990.447</v>
      </c>
      <c r="J245" s="213">
        <f>E245-I245</f>
        <v>4913.793103</v>
      </c>
      <c r="M245" s="231"/>
    </row>
    <row r="246" ht="15.75" customHeight="1">
      <c r="B246" s="617" t="s">
        <v>2101</v>
      </c>
      <c r="C246" s="208">
        <f>75000000/580000000</f>
        <v>0.1293103448</v>
      </c>
      <c r="D246" s="618">
        <f>D242-D243</f>
        <v>15315431.96</v>
      </c>
      <c r="E246" s="529">
        <v>-188087.4266156901</v>
      </c>
      <c r="H246" s="618">
        <f>H242-H243</f>
        <v>15258431.96</v>
      </c>
      <c r="I246" s="529">
        <v>-188087.4266156901</v>
      </c>
      <c r="M246" s="231"/>
    </row>
    <row r="247" ht="15.75" customHeight="1">
      <c r="B247" s="92"/>
      <c r="C247" s="92"/>
      <c r="D247" s="619">
        <f>D246*C246</f>
        <v>1980443.787</v>
      </c>
      <c r="E247" s="570">
        <f>D247+E246</f>
        <v>1792356.361</v>
      </c>
      <c r="H247" s="619">
        <f>H246*C246</f>
        <v>1973073.098</v>
      </c>
      <c r="I247" s="570">
        <f>H247+I246</f>
        <v>1784985.671</v>
      </c>
      <c r="J247" s="213">
        <f>E247-I247</f>
        <v>7370.689655</v>
      </c>
      <c r="M247" s="231"/>
    </row>
    <row r="248" ht="15.75" customHeight="1">
      <c r="B248" s="617" t="s">
        <v>2199</v>
      </c>
      <c r="C248" s="208">
        <f>9000000/580000000</f>
        <v>0.01551724138</v>
      </c>
      <c r="D248" s="618">
        <f>D242-D243</f>
        <v>15315431.96</v>
      </c>
      <c r="E248" s="529">
        <v>-10831.29493674486</v>
      </c>
      <c r="H248" s="618">
        <f>H242-H243</f>
        <v>15258431.96</v>
      </c>
      <c r="I248" s="529">
        <v>-10831.29493674486</v>
      </c>
      <c r="M248" s="231"/>
    </row>
    <row r="249" ht="15.75" customHeight="1">
      <c r="B249" s="92"/>
      <c r="C249" s="92"/>
      <c r="D249" s="619">
        <f>D248*C248</f>
        <v>237653.2545</v>
      </c>
      <c r="E249" s="570">
        <f>D249+E248</f>
        <v>226821.9596</v>
      </c>
      <c r="H249" s="619">
        <f>H248*C248</f>
        <v>236768.7717</v>
      </c>
      <c r="I249" s="570">
        <f>H249+I248</f>
        <v>225937.4768</v>
      </c>
      <c r="J249" s="213">
        <f>E249-I249</f>
        <v>884.4827586</v>
      </c>
      <c r="M249" s="231"/>
    </row>
    <row r="250" ht="15.75" customHeight="1">
      <c r="B250" s="620" t="s">
        <v>2086</v>
      </c>
      <c r="C250" s="92"/>
      <c r="D250" s="545">
        <f>D244-D245-D247-D249</f>
        <v>11777039.06</v>
      </c>
      <c r="H250" s="545">
        <f>H244-H245-H247-H249</f>
        <v>11733208.02</v>
      </c>
      <c r="M250" s="231"/>
    </row>
    <row r="251" ht="15.75" customHeight="1">
      <c r="B251" s="237" t="s">
        <v>2112</v>
      </c>
      <c r="C251" s="92"/>
      <c r="D251" s="615">
        <f>D250+D243</f>
        <v>12583114.42</v>
      </c>
      <c r="H251" s="615">
        <f>H250+H243</f>
        <v>12536283.39</v>
      </c>
      <c r="M251" s="231"/>
    </row>
    <row r="252" ht="15.75" customHeight="1">
      <c r="B252" s="208" t="s">
        <v>2113</v>
      </c>
      <c r="C252" s="92"/>
      <c r="D252" s="525">
        <f>D243+D245+D247+D249+D250</f>
        <v>16121507.32</v>
      </c>
      <c r="H252" s="525">
        <f>H243+H245+H247+H249+H250</f>
        <v>16061507.32</v>
      </c>
      <c r="M252" s="231"/>
    </row>
    <row r="253" ht="15.75" customHeight="1">
      <c r="M253" s="231"/>
    </row>
    <row r="254" ht="15.75" customHeight="1">
      <c r="M254" s="231"/>
    </row>
    <row r="255" ht="15.75" customHeight="1">
      <c r="B255" s="532" t="s">
        <v>2204</v>
      </c>
      <c r="C255" s="132"/>
      <c r="D255" s="133"/>
      <c r="M255" s="231"/>
    </row>
    <row r="256" ht="15.75" customHeight="1">
      <c r="B256" s="293" t="s">
        <v>1958</v>
      </c>
      <c r="C256" s="92"/>
      <c r="D256" s="535">
        <v>1.850558666287E7</v>
      </c>
      <c r="M256" s="231"/>
    </row>
    <row r="257" ht="15.75" customHeight="1">
      <c r="B257" s="496" t="s">
        <v>2207</v>
      </c>
      <c r="C257" s="92"/>
      <c r="D257" s="551">
        <v>7668600.0</v>
      </c>
      <c r="M257" s="231"/>
    </row>
    <row r="258" ht="15.75" customHeight="1">
      <c r="B258" s="208"/>
      <c r="C258" s="92"/>
      <c r="D258" s="615">
        <f>D256-D257</f>
        <v>10836986.66</v>
      </c>
      <c r="M258" s="231"/>
    </row>
    <row r="259" ht="15.75" customHeight="1">
      <c r="B259" s="237" t="s">
        <v>1984</v>
      </c>
      <c r="C259" s="616">
        <v>0.05</v>
      </c>
      <c r="D259" s="233">
        <f>D258*C259</f>
        <v>541849.3331</v>
      </c>
      <c r="M259" s="231"/>
    </row>
    <row r="260" ht="15.75" customHeight="1">
      <c r="B260" s="617" t="s">
        <v>2097</v>
      </c>
      <c r="C260" s="208">
        <f>50000000/580000000</f>
        <v>0.08620689655</v>
      </c>
      <c r="D260" s="618">
        <f>D258-D259</f>
        <v>10295137.33</v>
      </c>
      <c r="M260" s="231"/>
    </row>
    <row r="261" ht="15.75" customHeight="1">
      <c r="B261" s="92"/>
      <c r="C261" s="92"/>
      <c r="D261" s="619">
        <f>D260*C260</f>
        <v>887511.8388</v>
      </c>
      <c r="M261" s="231"/>
    </row>
    <row r="262" ht="15.75" customHeight="1">
      <c r="B262" s="617" t="s">
        <v>2101</v>
      </c>
      <c r="C262" s="208">
        <f>75000000/580000000</f>
        <v>0.1293103448</v>
      </c>
      <c r="D262" s="618">
        <f>D258-D259</f>
        <v>10295137.33</v>
      </c>
      <c r="M262" s="231"/>
    </row>
    <row r="263" ht="15.75" customHeight="1">
      <c r="B263" s="92"/>
      <c r="C263" s="92"/>
      <c r="D263" s="619">
        <f>D262*C262</f>
        <v>1331267.758</v>
      </c>
      <c r="M263" s="231"/>
    </row>
    <row r="264" ht="15.75" customHeight="1">
      <c r="B264" s="617" t="s">
        <v>2199</v>
      </c>
      <c r="C264" s="208">
        <f>9000000/580000000</f>
        <v>0.01551724138</v>
      </c>
      <c r="D264" s="618">
        <f>D258-D259</f>
        <v>10295137.33</v>
      </c>
      <c r="M264" s="231"/>
    </row>
    <row r="265" ht="15.75" customHeight="1">
      <c r="B265" s="92"/>
      <c r="C265" s="92"/>
      <c r="D265" s="619">
        <f>D264*C264</f>
        <v>159752.131</v>
      </c>
      <c r="M265" s="231"/>
    </row>
    <row r="266" ht="15.75" customHeight="1">
      <c r="B266" s="620" t="s">
        <v>2086</v>
      </c>
      <c r="C266" s="92"/>
      <c r="D266" s="545">
        <f>D260-D261-D263-D265</f>
        <v>7916605.602</v>
      </c>
      <c r="M266" s="231"/>
    </row>
    <row r="267" ht="15.75" customHeight="1">
      <c r="B267" s="237" t="s">
        <v>2112</v>
      </c>
      <c r="C267" s="92"/>
      <c r="D267" s="615">
        <f>D266+D259</f>
        <v>8458454.935</v>
      </c>
      <c r="M267" s="231"/>
    </row>
    <row r="268" ht="15.75" customHeight="1">
      <c r="B268" s="208" t="s">
        <v>2113</v>
      </c>
      <c r="C268" s="92"/>
      <c r="D268" s="525">
        <f>D259+D261+D263+D265+D266</f>
        <v>10836986.66</v>
      </c>
      <c r="M268" s="231"/>
    </row>
    <row r="269" ht="15.75" customHeight="1">
      <c r="M269" s="231"/>
    </row>
    <row r="270" ht="15.75" customHeight="1">
      <c r="M270" s="231"/>
    </row>
    <row r="271" ht="15.75" customHeight="1">
      <c r="B271" s="532" t="s">
        <v>2217</v>
      </c>
      <c r="C271" s="132"/>
      <c r="D271" s="133"/>
      <c r="H271" s="69" t="s">
        <v>2218</v>
      </c>
      <c r="M271" s="231"/>
    </row>
    <row r="272" ht="15.75" customHeight="1">
      <c r="B272" s="293" t="s">
        <v>1958</v>
      </c>
      <c r="C272" s="92"/>
      <c r="D272" s="535">
        <v>2.141365888398E7</v>
      </c>
      <c r="H272" s="535">
        <v>2.1465748871979997E7</v>
      </c>
      <c r="M272" s="231"/>
    </row>
    <row r="273" ht="15.75" customHeight="1">
      <c r="B273" s="496" t="s">
        <v>2220</v>
      </c>
      <c r="C273" s="92"/>
      <c r="D273" s="551">
        <v>1.07026E7</v>
      </c>
      <c r="E273" s="485" t="s">
        <v>2222</v>
      </c>
      <c r="H273" s="551">
        <v>1.07026E7</v>
      </c>
      <c r="M273" s="231"/>
    </row>
    <row r="274" ht="15.75" customHeight="1">
      <c r="B274" s="208"/>
      <c r="C274" s="92"/>
      <c r="D274" s="615">
        <f>D272-D273</f>
        <v>10711058.88</v>
      </c>
      <c r="H274" s="615">
        <f>H272-H273</f>
        <v>10763148.87</v>
      </c>
      <c r="M274" s="231"/>
    </row>
    <row r="275" ht="15.75" customHeight="1">
      <c r="B275" s="237" t="s">
        <v>1984</v>
      </c>
      <c r="C275" s="616">
        <v>0.05</v>
      </c>
      <c r="D275" s="233">
        <f>D274*C275</f>
        <v>535552.9442</v>
      </c>
      <c r="H275" s="233">
        <f>H274*C275</f>
        <v>538157.4436</v>
      </c>
      <c r="M275" s="231"/>
    </row>
    <row r="276" ht="15.75" customHeight="1">
      <c r="B276" s="617" t="s">
        <v>2097</v>
      </c>
      <c r="C276" s="208">
        <f>50000000/580000000</f>
        <v>0.08620689655</v>
      </c>
      <c r="D276" s="618">
        <f>D274-D275</f>
        <v>10175505.94</v>
      </c>
      <c r="H276" s="618">
        <f>H274-H275</f>
        <v>10224991.43</v>
      </c>
      <c r="M276" s="231"/>
    </row>
    <row r="277" ht="15.75" customHeight="1">
      <c r="B277" s="92"/>
      <c r="C277" s="92"/>
      <c r="D277" s="619">
        <f>D276*C276</f>
        <v>877198.7879</v>
      </c>
      <c r="H277" s="619">
        <f>H276*C276</f>
        <v>881464.7783</v>
      </c>
      <c r="I277" s="570">
        <f>H277-D277</f>
        <v>4265.990397</v>
      </c>
      <c r="M277" s="231"/>
    </row>
    <row r="278" ht="15.75" customHeight="1">
      <c r="B278" s="617" t="s">
        <v>2101</v>
      </c>
      <c r="C278" s="208">
        <f>75000000/580000000</f>
        <v>0.1293103448</v>
      </c>
      <c r="D278" s="618">
        <f>D274-D275</f>
        <v>10175505.94</v>
      </c>
      <c r="H278" s="618">
        <f>H274-H275</f>
        <v>10224991.43</v>
      </c>
      <c r="M278" s="231"/>
    </row>
    <row r="279" ht="15.75" customHeight="1">
      <c r="B279" s="92"/>
      <c r="C279" s="92"/>
      <c r="D279" s="619">
        <f>D278*C278</f>
        <v>1315798.182</v>
      </c>
      <c r="H279" s="619">
        <f>H278*C278</f>
        <v>1322197.167</v>
      </c>
      <c r="I279" s="570">
        <f>H279-D279</f>
        <v>6398.985595</v>
      </c>
      <c r="M279" s="231"/>
    </row>
    <row r="280" ht="15.75" customHeight="1">
      <c r="B280" s="617" t="s">
        <v>2199</v>
      </c>
      <c r="C280" s="208">
        <f>9000000/580000000</f>
        <v>0.01551724138</v>
      </c>
      <c r="D280" s="618">
        <f>D274-D275</f>
        <v>10175505.94</v>
      </c>
      <c r="H280" s="618">
        <f>H274-H275</f>
        <v>10224991.43</v>
      </c>
      <c r="M280" s="231"/>
    </row>
    <row r="281" ht="15.75" customHeight="1">
      <c r="B281" s="92"/>
      <c r="C281" s="92"/>
      <c r="D281" s="619">
        <f>D280*C280</f>
        <v>157895.7818</v>
      </c>
      <c r="H281" s="619">
        <f>H280*C280</f>
        <v>158663.6601</v>
      </c>
      <c r="I281" s="570">
        <f>H281-D281</f>
        <v>767.8782714</v>
      </c>
      <c r="M281" s="231"/>
    </row>
    <row r="282" ht="15.75" customHeight="1">
      <c r="B282" s="620" t="s">
        <v>2086</v>
      </c>
      <c r="C282" s="92"/>
      <c r="D282" s="545">
        <f>D276-D277-D279-D281</f>
        <v>7824613.188</v>
      </c>
      <c r="H282" s="545">
        <f>H276-H277-H279-H281</f>
        <v>7862665.823</v>
      </c>
      <c r="M282" s="231"/>
    </row>
    <row r="283" ht="15.75" customHeight="1">
      <c r="B283" s="237" t="s">
        <v>2112</v>
      </c>
      <c r="C283" s="92"/>
      <c r="D283" s="615">
        <f>D282+D275</f>
        <v>8360166.132</v>
      </c>
      <c r="H283" s="615">
        <f>H282+H275</f>
        <v>8400823.266</v>
      </c>
      <c r="M283" s="231"/>
    </row>
    <row r="284" ht="15.75" customHeight="1">
      <c r="B284" s="208" t="s">
        <v>2113</v>
      </c>
      <c r="C284" s="92"/>
      <c r="D284" s="525">
        <f>D275+D277+D279+D281+D282</f>
        <v>10711058.88</v>
      </c>
      <c r="H284" s="525">
        <f>H275+H277+H279+H281+H282</f>
        <v>10763148.87</v>
      </c>
      <c r="M284" s="231"/>
    </row>
    <row r="285" ht="15.75" customHeight="1">
      <c r="M285" s="231"/>
    </row>
    <row r="286" ht="15.75" customHeight="1">
      <c r="M286" s="231"/>
    </row>
    <row r="287" ht="15.75" customHeight="1">
      <c r="B287" s="532" t="s">
        <v>2232</v>
      </c>
      <c r="C287" s="132"/>
      <c r="D287" s="133"/>
      <c r="E287" s="69" t="s">
        <v>2233</v>
      </c>
      <c r="M287" s="231"/>
    </row>
    <row r="288" ht="15.75" customHeight="1">
      <c r="B288" s="293" t="s">
        <v>1958</v>
      </c>
      <c r="C288" s="92"/>
      <c r="D288" s="535">
        <v>1.3129920735968001E7</v>
      </c>
      <c r="M288" s="231"/>
    </row>
    <row r="289" ht="15.75" customHeight="1">
      <c r="B289" s="496" t="s">
        <v>2236</v>
      </c>
      <c r="C289" s="92"/>
      <c r="D289" s="551">
        <v>4725600.0</v>
      </c>
      <c r="M289" s="231"/>
    </row>
    <row r="290" ht="15.75" customHeight="1">
      <c r="B290" s="208"/>
      <c r="C290" s="92"/>
      <c r="D290" s="615">
        <f>D288-D289</f>
        <v>8404320.736</v>
      </c>
      <c r="M290" s="231"/>
    </row>
    <row r="291" ht="15.75" customHeight="1">
      <c r="B291" s="237" t="s">
        <v>1984</v>
      </c>
      <c r="C291" s="616">
        <v>0.05</v>
      </c>
      <c r="D291" s="233">
        <f>D290*C291</f>
        <v>420216.0368</v>
      </c>
      <c r="M291" s="231"/>
    </row>
    <row r="292" ht="15.75" customHeight="1">
      <c r="B292" s="617" t="s">
        <v>2097</v>
      </c>
      <c r="C292" s="208">
        <f>50000000/580000000</f>
        <v>0.08620689655</v>
      </c>
      <c r="D292" s="618">
        <f>D290-D291</f>
        <v>7984104.699</v>
      </c>
      <c r="E292" s="69">
        <v>4265.99</v>
      </c>
      <c r="M292" s="231"/>
    </row>
    <row r="293" ht="15.75" customHeight="1">
      <c r="B293" s="92"/>
      <c r="C293" s="92"/>
      <c r="D293" s="619">
        <f>D292*C292</f>
        <v>688284.8879</v>
      </c>
      <c r="E293" s="570">
        <f>D293+E292</f>
        <v>692550.8779</v>
      </c>
      <c r="M293" s="231"/>
    </row>
    <row r="294" ht="15.75" customHeight="1">
      <c r="B294" s="617" t="s">
        <v>2101</v>
      </c>
      <c r="C294" s="208">
        <f>75000000/580000000</f>
        <v>0.1293103448</v>
      </c>
      <c r="D294" s="618">
        <f>D290-D291</f>
        <v>7984104.699</v>
      </c>
      <c r="E294" s="69">
        <v>6398.99</v>
      </c>
      <c r="M294" s="231"/>
    </row>
    <row r="295" ht="15.75" customHeight="1">
      <c r="B295" s="92"/>
      <c r="C295" s="92"/>
      <c r="D295" s="619">
        <f>D294*C294</f>
        <v>1032427.332</v>
      </c>
      <c r="E295" s="570">
        <f>D295+E294</f>
        <v>1038826.322</v>
      </c>
      <c r="M295" s="231"/>
    </row>
    <row r="296" ht="15.75" customHeight="1">
      <c r="B296" s="617" t="s">
        <v>2199</v>
      </c>
      <c r="C296" s="208">
        <f>9000000/580000000</f>
        <v>0.01551724138</v>
      </c>
      <c r="D296" s="618">
        <f>D290-D291</f>
        <v>7984104.699</v>
      </c>
      <c r="E296" s="69">
        <v>767.88</v>
      </c>
      <c r="M296" s="231"/>
    </row>
    <row r="297" ht="15.75" customHeight="1">
      <c r="B297" s="92"/>
      <c r="C297" s="92"/>
      <c r="D297" s="619">
        <f>D296*C296</f>
        <v>123891.2798</v>
      </c>
      <c r="E297" s="570">
        <f>D297+E296</f>
        <v>124659.1598</v>
      </c>
      <c r="M297" s="231"/>
    </row>
    <row r="298" ht="15.75" customHeight="1">
      <c r="B298" s="620" t="s">
        <v>2086</v>
      </c>
      <c r="C298" s="92"/>
      <c r="D298" s="545">
        <f>D292-D293-D295-D297</f>
        <v>6139501.2</v>
      </c>
      <c r="M298" s="231"/>
    </row>
    <row r="299" ht="15.75" customHeight="1">
      <c r="B299" s="237" t="s">
        <v>2112</v>
      </c>
      <c r="C299" s="92"/>
      <c r="D299" s="615">
        <f>D298+D291</f>
        <v>6559717.237</v>
      </c>
      <c r="M299" s="231"/>
    </row>
    <row r="300" ht="15.75" customHeight="1">
      <c r="B300" s="208" t="s">
        <v>2113</v>
      </c>
      <c r="C300" s="92"/>
      <c r="D300" s="525">
        <f>D291+D293+D295+D297+D298</f>
        <v>8404320.736</v>
      </c>
      <c r="M300" s="231"/>
    </row>
    <row r="301" ht="15.75" customHeight="1">
      <c r="M301" s="231"/>
    </row>
    <row r="302" ht="15.75" customHeight="1">
      <c r="M302" s="231"/>
    </row>
    <row r="303" ht="15.75" customHeight="1">
      <c r="B303" s="532" t="s">
        <v>2243</v>
      </c>
      <c r="C303" s="132"/>
      <c r="D303" s="133"/>
      <c r="M303" s="231"/>
    </row>
    <row r="304" ht="15.75" customHeight="1">
      <c r="B304" s="293" t="s">
        <v>1958</v>
      </c>
      <c r="C304" s="92"/>
      <c r="D304" s="535">
        <v>2.2461074326344E7</v>
      </c>
      <c r="M304" s="231"/>
    </row>
    <row r="305" ht="15.75" customHeight="1">
      <c r="B305" s="496" t="s">
        <v>2244</v>
      </c>
      <c r="C305" s="92"/>
      <c r="D305" s="551">
        <v>2773600.0</v>
      </c>
      <c r="E305" s="286" t="s">
        <v>2058</v>
      </c>
      <c r="M305" s="231"/>
    </row>
    <row r="306" ht="15.75" customHeight="1">
      <c r="B306" s="208"/>
      <c r="C306" s="92"/>
      <c r="D306" s="615">
        <f>D304-D305-E306</f>
        <v>18881944.33</v>
      </c>
      <c r="E306" s="642">
        <v>805529.9999999984</v>
      </c>
      <c r="M306" s="231"/>
    </row>
    <row r="307" ht="15.75" customHeight="1">
      <c r="B307" s="237" t="s">
        <v>1984</v>
      </c>
      <c r="C307" s="616">
        <v>0.05</v>
      </c>
      <c r="D307" s="233">
        <f>D306*C307</f>
        <v>944097.2163</v>
      </c>
      <c r="M307" s="231"/>
    </row>
    <row r="308" ht="15.75" customHeight="1">
      <c r="B308" s="617" t="s">
        <v>2097</v>
      </c>
      <c r="C308" s="208">
        <f>50000000/580000000</f>
        <v>0.08620689655</v>
      </c>
      <c r="D308" s="618">
        <f>D306-D307</f>
        <v>17937847.11</v>
      </c>
      <c r="M308" s="231"/>
    </row>
    <row r="309" ht="15.75" customHeight="1">
      <c r="B309" s="92"/>
      <c r="C309" s="92"/>
      <c r="D309" s="619">
        <f>D308*C308</f>
        <v>1546366.13</v>
      </c>
      <c r="M309" s="231"/>
    </row>
    <row r="310" ht="15.75" customHeight="1">
      <c r="B310" s="293" t="s">
        <v>2101</v>
      </c>
      <c r="C310" s="293">
        <f>75000000/580000000</f>
        <v>0.1293103448</v>
      </c>
      <c r="D310" s="613">
        <f>D306-D307</f>
        <v>17937847.11</v>
      </c>
      <c r="E310" s="69" t="s">
        <v>2249</v>
      </c>
      <c r="M310" s="231"/>
    </row>
    <row r="311" ht="15.75" customHeight="1">
      <c r="B311" s="643"/>
      <c r="C311" s="643"/>
      <c r="D311" s="623">
        <f>D310*C310</f>
        <v>2319549.195</v>
      </c>
      <c r="E311" s="69" t="s">
        <v>2250</v>
      </c>
      <c r="M311" s="231"/>
    </row>
    <row r="312" ht="15.75" customHeight="1">
      <c r="B312" s="617" t="s">
        <v>2199</v>
      </c>
      <c r="C312" s="208">
        <f>9000000/580000000</f>
        <v>0.01551724138</v>
      </c>
      <c r="D312" s="618">
        <f>D306-D307</f>
        <v>17937847.11</v>
      </c>
      <c r="M312" s="231"/>
    </row>
    <row r="313" ht="15.75" customHeight="1">
      <c r="B313" s="92"/>
      <c r="C313" s="92"/>
      <c r="D313" s="619">
        <f>D312*C312</f>
        <v>278345.9034</v>
      </c>
      <c r="M313" s="231"/>
    </row>
    <row r="314" ht="15.75" customHeight="1">
      <c r="B314" s="620" t="s">
        <v>2086</v>
      </c>
      <c r="C314" s="92"/>
      <c r="D314" s="545">
        <f>D308-D309-D311-D313</f>
        <v>13793585.88</v>
      </c>
      <c r="M314" s="231"/>
    </row>
    <row r="315" ht="15.75" customHeight="1">
      <c r="B315" s="237" t="s">
        <v>2112</v>
      </c>
      <c r="C315" s="92"/>
      <c r="D315" s="615">
        <f>D314+D307</f>
        <v>14737683.1</v>
      </c>
      <c r="M315" s="231"/>
    </row>
    <row r="316" ht="15.75" customHeight="1">
      <c r="B316" s="208" t="s">
        <v>2113</v>
      </c>
      <c r="C316" s="92"/>
      <c r="D316" s="525">
        <f>D307+D309+D311+D313+D314</f>
        <v>18881944.33</v>
      </c>
      <c r="M316" s="231"/>
    </row>
    <row r="317" ht="15.75" customHeight="1">
      <c r="M317" s="231"/>
    </row>
    <row r="318" ht="15.75" customHeight="1">
      <c r="B318" s="532" t="s">
        <v>2252</v>
      </c>
      <c r="C318" s="132"/>
      <c r="D318" s="133"/>
      <c r="M318" s="231"/>
    </row>
    <row r="319" ht="15.75" customHeight="1">
      <c r="B319" s="293" t="s">
        <v>1958</v>
      </c>
      <c r="C319" s="92"/>
      <c r="D319" s="613">
        <f>SUM(N86:N91)</f>
        <v>15914358.68</v>
      </c>
      <c r="M319" s="231"/>
    </row>
    <row r="320" ht="15.75" customHeight="1">
      <c r="B320" s="496" t="s">
        <v>1969</v>
      </c>
      <c r="C320" s="92"/>
      <c r="D320" s="550">
        <v>2723600.0</v>
      </c>
      <c r="E320" s="527"/>
      <c r="M320" s="231"/>
    </row>
    <row r="321" ht="15.75" customHeight="1">
      <c r="B321" s="208"/>
      <c r="C321" s="92"/>
      <c r="D321" s="615">
        <f>D319-D320-E321</f>
        <v>12513138.68</v>
      </c>
      <c r="E321" s="603">
        <f>sum(R66:R90)</f>
        <v>677620</v>
      </c>
      <c r="M321" s="231"/>
    </row>
    <row r="322" ht="15.75" customHeight="1">
      <c r="B322" s="237" t="s">
        <v>1984</v>
      </c>
      <c r="C322" s="616">
        <v>0.05</v>
      </c>
      <c r="D322" s="233">
        <f>D321*C322</f>
        <v>625656.9339</v>
      </c>
      <c r="M322" s="231"/>
    </row>
    <row r="323" ht="15.75" customHeight="1">
      <c r="B323" s="617" t="s">
        <v>2101</v>
      </c>
      <c r="C323" s="208">
        <f>75000000/580000000</f>
        <v>0.1293103448</v>
      </c>
      <c r="D323" s="618">
        <f>D321-D322</f>
        <v>11887481.74</v>
      </c>
      <c r="M323" s="231"/>
    </row>
    <row r="324" ht="15.75" customHeight="1">
      <c r="B324" s="92"/>
      <c r="C324" s="92"/>
      <c r="D324" s="619">
        <f>D323*C323</f>
        <v>1537174.364</v>
      </c>
      <c r="M324" s="231"/>
    </row>
    <row r="325" ht="15.75" customHeight="1">
      <c r="M325" s="231"/>
    </row>
    <row r="326" ht="15.75" customHeight="1">
      <c r="B326" s="532" t="s">
        <v>2253</v>
      </c>
      <c r="C326" s="132"/>
      <c r="D326" s="133"/>
      <c r="M326" s="231"/>
    </row>
    <row r="327" ht="15.75" customHeight="1">
      <c r="B327" s="293" t="s">
        <v>1958</v>
      </c>
      <c r="C327" s="92"/>
      <c r="D327" s="613">
        <f>SUM(N92:N93)</f>
        <v>6546715.648</v>
      </c>
      <c r="M327" s="231"/>
    </row>
    <row r="328" ht="15.75" customHeight="1">
      <c r="B328" s="496" t="s">
        <v>1969</v>
      </c>
      <c r="C328" s="92"/>
      <c r="D328" s="550">
        <v>50000.0</v>
      </c>
      <c r="M328" s="231"/>
    </row>
    <row r="329" ht="15.75" customHeight="1">
      <c r="B329" s="208"/>
      <c r="C329" s="92"/>
      <c r="D329" s="615">
        <f>D327-D328-E329</f>
        <v>6368805.648</v>
      </c>
      <c r="E329" s="603">
        <f>sum(R91:R93)</f>
        <v>127910</v>
      </c>
      <c r="M329" s="231"/>
    </row>
    <row r="330" ht="15.75" customHeight="1">
      <c r="B330" s="237" t="s">
        <v>1984</v>
      </c>
      <c r="C330" s="616">
        <v>0.05</v>
      </c>
      <c r="D330" s="233">
        <f>D329*C330</f>
        <v>318440.2824</v>
      </c>
      <c r="M330" s="231"/>
    </row>
    <row r="331" ht="15.75" customHeight="1">
      <c r="B331" s="617" t="s">
        <v>2254</v>
      </c>
      <c r="C331" s="208">
        <f>50000000/580000000</f>
        <v>0.08620689655</v>
      </c>
      <c r="D331" s="618">
        <f>D329-D330</f>
        <v>6050365.366</v>
      </c>
      <c r="M331" s="231"/>
    </row>
    <row r="332" ht="15.75" customHeight="1">
      <c r="B332" s="92"/>
      <c r="C332" s="92"/>
      <c r="D332" s="619">
        <f>D331*C331</f>
        <v>521583.2212</v>
      </c>
      <c r="M332" s="231"/>
    </row>
    <row r="333" ht="15.75" customHeight="1">
      <c r="C333" s="582" t="s">
        <v>2256</v>
      </c>
      <c r="D333" s="564" t="s">
        <v>2007</v>
      </c>
      <c r="M333" s="231"/>
    </row>
    <row r="334" ht="15.75" customHeight="1">
      <c r="C334" s="644" t="s">
        <v>2257</v>
      </c>
      <c r="D334" s="213">
        <f t="shared" ref="D334:D335" si="66">D319+D327</f>
        <v>22461074.33</v>
      </c>
      <c r="M334" s="231"/>
    </row>
    <row r="335" ht="15.75" customHeight="1">
      <c r="C335" s="485" t="s">
        <v>1969</v>
      </c>
      <c r="D335" s="213">
        <f t="shared" si="66"/>
        <v>2773600</v>
      </c>
      <c r="M335" s="231"/>
    </row>
    <row r="336" ht="15.75" customHeight="1">
      <c r="C336" s="69" t="s">
        <v>2259</v>
      </c>
      <c r="D336" s="571">
        <f>D324+D332</f>
        <v>2058757.585</v>
      </c>
      <c r="E336" s="69" t="s">
        <v>2260</v>
      </c>
      <c r="M336" s="231"/>
    </row>
    <row r="337" ht="15.75" customHeight="1">
      <c r="C337" s="69" t="s">
        <v>2058</v>
      </c>
      <c r="D337" s="213">
        <f>E321+E329</f>
        <v>805530</v>
      </c>
      <c r="M337" s="231"/>
    </row>
    <row r="338" ht="15.75" customHeight="1">
      <c r="B338" s="528">
        <v>2069232.9726069137</v>
      </c>
      <c r="C338" s="528">
        <v>2058757.5846758792</v>
      </c>
      <c r="D338" s="642">
        <f>B338-C338</f>
        <v>10475.38793</v>
      </c>
      <c r="M338" s="231"/>
    </row>
    <row r="339" ht="15.75" customHeight="1">
      <c r="M339" s="231"/>
    </row>
    <row r="340" ht="15.75" customHeight="1">
      <c r="B340" s="532" t="s">
        <v>2262</v>
      </c>
      <c r="C340" s="132"/>
      <c r="D340" s="133"/>
      <c r="M340" s="231"/>
    </row>
    <row r="341" ht="15.75" customHeight="1">
      <c r="B341" s="293" t="s">
        <v>1958</v>
      </c>
      <c r="C341" s="92"/>
      <c r="D341" s="535">
        <v>2.2238211672256E7</v>
      </c>
      <c r="M341" s="231"/>
    </row>
    <row r="342" ht="15.75" customHeight="1">
      <c r="B342" s="496" t="s">
        <v>2263</v>
      </c>
      <c r="C342" s="92"/>
      <c r="D342" s="551">
        <v>1.20586E7</v>
      </c>
      <c r="M342" s="231"/>
    </row>
    <row r="343" ht="15.75" customHeight="1">
      <c r="B343" s="208"/>
      <c r="C343" s="92"/>
      <c r="D343" s="615">
        <f>D341-D342-E343</f>
        <v>10177551.67</v>
      </c>
      <c r="E343" s="647">
        <v>2060.0</v>
      </c>
      <c r="M343" s="231"/>
    </row>
    <row r="344" ht="15.75" customHeight="1">
      <c r="B344" s="237" t="s">
        <v>1984</v>
      </c>
      <c r="C344" s="616">
        <v>0.05</v>
      </c>
      <c r="D344" s="233">
        <f>D343*C344</f>
        <v>508877.5836</v>
      </c>
      <c r="M344" s="231"/>
    </row>
    <row r="345" ht="15.75" customHeight="1">
      <c r="B345" s="617" t="s">
        <v>2097</v>
      </c>
      <c r="C345" s="208">
        <f>50000000/580000000</f>
        <v>0.08620689655</v>
      </c>
      <c r="D345" s="618">
        <f>D343-D344</f>
        <v>9668674.089</v>
      </c>
      <c r="M345" s="231"/>
    </row>
    <row r="346" ht="15.75" customHeight="1">
      <c r="B346" s="92"/>
      <c r="C346" s="92"/>
      <c r="D346" s="619">
        <f>D345*C345</f>
        <v>833506.387</v>
      </c>
      <c r="M346" s="231"/>
    </row>
    <row r="347" ht="15.75" customHeight="1">
      <c r="B347" s="617" t="s">
        <v>2265</v>
      </c>
      <c r="C347" s="208">
        <f>25000000/580000000</f>
        <v>0.04310344828</v>
      </c>
      <c r="D347" s="618">
        <f>D343-D344</f>
        <v>9668674.089</v>
      </c>
      <c r="E347" s="286" t="s">
        <v>2266</v>
      </c>
      <c r="M347" s="231"/>
    </row>
    <row r="348" ht="15.75" customHeight="1">
      <c r="B348" s="92"/>
      <c r="C348" s="92"/>
      <c r="D348" s="619">
        <f>D347*C347</f>
        <v>416753.1935</v>
      </c>
      <c r="E348" s="608">
        <f>D348-D338</f>
        <v>406277.8055</v>
      </c>
      <c r="M348" s="231"/>
    </row>
    <row r="349" ht="15.75" customHeight="1">
      <c r="B349" s="617" t="s">
        <v>2267</v>
      </c>
      <c r="C349" s="208">
        <f>12000000/580000000</f>
        <v>0.02068965517</v>
      </c>
      <c r="D349" s="618">
        <f>D343-D344</f>
        <v>9668674.089</v>
      </c>
      <c r="M349" s="231"/>
    </row>
    <row r="350" ht="15.75" customHeight="1">
      <c r="B350" s="92"/>
      <c r="C350" s="92"/>
      <c r="D350" s="619">
        <f>D349*C349</f>
        <v>200041.5329</v>
      </c>
      <c r="M350" s="231"/>
    </row>
    <row r="351" ht="15.75" customHeight="1">
      <c r="B351" s="620" t="s">
        <v>2086</v>
      </c>
      <c r="C351" s="92"/>
      <c r="D351" s="545">
        <f>D345-D346-D348-D350</f>
        <v>8218372.975</v>
      </c>
      <c r="M351" s="231"/>
    </row>
    <row r="352" ht="15.75" customHeight="1">
      <c r="B352" s="237" t="s">
        <v>2112</v>
      </c>
      <c r="C352" s="92"/>
      <c r="D352" s="615">
        <f>D351+D344</f>
        <v>8727250.559</v>
      </c>
      <c r="M352" s="231"/>
    </row>
    <row r="353" ht="15.75" customHeight="1">
      <c r="B353" s="208" t="s">
        <v>2113</v>
      </c>
      <c r="C353" s="92"/>
      <c r="D353" s="525">
        <f>D344+D346+D348+D350+D351</f>
        <v>10177551.67</v>
      </c>
      <c r="M353" s="231"/>
    </row>
    <row r="354" ht="15.75" customHeight="1">
      <c r="M354" s="231"/>
    </row>
    <row r="355" ht="15.75" customHeight="1">
      <c r="M355" s="231"/>
    </row>
    <row r="356" ht="15.75" customHeight="1">
      <c r="B356" s="532" t="s">
        <v>2270</v>
      </c>
      <c r="C356" s="132"/>
      <c r="D356" s="133"/>
      <c r="M356" s="231"/>
    </row>
    <row r="357" ht="15.75" customHeight="1">
      <c r="B357" s="293" t="s">
        <v>1958</v>
      </c>
      <c r="C357" s="92"/>
      <c r="D357" s="535">
        <v>2.0061437674999997E7</v>
      </c>
      <c r="E357" s="564" t="s">
        <v>2165</v>
      </c>
      <c r="F357" s="653" t="s">
        <v>2271</v>
      </c>
      <c r="G357" s="535">
        <f>E358-D358</f>
        <v>3541400</v>
      </c>
      <c r="M357" s="231"/>
    </row>
    <row r="358" ht="15.75" customHeight="1">
      <c r="B358" s="496" t="s">
        <v>2272</v>
      </c>
      <c r="C358" s="92"/>
      <c r="D358" s="551">
        <v>1458600.0</v>
      </c>
      <c r="E358" s="554">
        <v>5000000.0</v>
      </c>
      <c r="M358" s="231"/>
    </row>
    <row r="359" ht="15.75" customHeight="1">
      <c r="B359" s="208"/>
      <c r="C359" s="92"/>
      <c r="D359" s="615">
        <f>D357-D358</f>
        <v>18602837.68</v>
      </c>
      <c r="E359" s="615">
        <f>D357-E358</f>
        <v>15061437.68</v>
      </c>
      <c r="M359" s="231"/>
    </row>
    <row r="360" ht="15.75" customHeight="1">
      <c r="B360" s="237" t="s">
        <v>1984</v>
      </c>
      <c r="C360" s="616">
        <v>0.05</v>
      </c>
      <c r="D360" s="233">
        <f>D359*C360</f>
        <v>930141.8838</v>
      </c>
      <c r="E360" s="233">
        <f>E359*C360</f>
        <v>753071.8838</v>
      </c>
      <c r="M360" s="231"/>
    </row>
    <row r="361" ht="15.75" customHeight="1">
      <c r="B361" s="617" t="s">
        <v>2097</v>
      </c>
      <c r="C361" s="208">
        <f>50000000/580000000</f>
        <v>0.08620689655</v>
      </c>
      <c r="D361" s="618">
        <f t="shared" ref="D361:E361" si="67">D359-D360</f>
        <v>17672695.79</v>
      </c>
      <c r="E361" s="618">
        <f t="shared" si="67"/>
        <v>14308365.79</v>
      </c>
      <c r="M361" s="231"/>
    </row>
    <row r="362" ht="15.75" customHeight="1">
      <c r="B362" s="92"/>
      <c r="C362" s="92"/>
      <c r="D362" s="619">
        <f>D361*C361</f>
        <v>1523508.258</v>
      </c>
      <c r="E362" s="619">
        <f>E361*C361</f>
        <v>1233479.81</v>
      </c>
      <c r="M362" s="231"/>
    </row>
    <row r="363" ht="15.75" customHeight="1">
      <c r="B363" s="617" t="s">
        <v>2265</v>
      </c>
      <c r="C363" s="208">
        <f>25000000/580000000</f>
        <v>0.04310344828</v>
      </c>
      <c r="D363" s="618">
        <f>D359-D360</f>
        <v>17672695.79</v>
      </c>
      <c r="E363" s="618">
        <f>E359-C363</f>
        <v>15061437.63</v>
      </c>
      <c r="M363" s="231"/>
    </row>
    <row r="364" ht="15.75" customHeight="1">
      <c r="B364" s="92"/>
      <c r="C364" s="92"/>
      <c r="D364" s="619">
        <f>D363*C363</f>
        <v>761754.1289</v>
      </c>
      <c r="E364" s="619">
        <f>E363*C363</f>
        <v>649199.8979</v>
      </c>
      <c r="M364" s="231"/>
    </row>
    <row r="365" ht="15.75" customHeight="1">
      <c r="B365" s="617" t="s">
        <v>2275</v>
      </c>
      <c r="C365" s="208">
        <f>14500000/580000000</f>
        <v>0.025</v>
      </c>
      <c r="D365" s="618">
        <f t="shared" ref="D365:E365" si="68">D359-D360</f>
        <v>17672695.79</v>
      </c>
      <c r="E365" s="618">
        <f t="shared" si="68"/>
        <v>14308365.79</v>
      </c>
      <c r="M365" s="231"/>
    </row>
    <row r="366" ht="15.75" customHeight="1">
      <c r="B366" s="92"/>
      <c r="C366" s="92"/>
      <c r="D366" s="619">
        <f>D365*C365</f>
        <v>441817.3948</v>
      </c>
      <c r="E366" s="619">
        <f>E365*C365</f>
        <v>357709.1448</v>
      </c>
      <c r="M366" s="231"/>
    </row>
    <row r="367" ht="15.75" customHeight="1">
      <c r="B367" s="620" t="s">
        <v>2086</v>
      </c>
      <c r="C367" s="92"/>
      <c r="D367" s="545">
        <f t="shared" ref="D367:E367" si="69">D361-D362-D364-D366</f>
        <v>14945616.01</v>
      </c>
      <c r="E367" s="545">
        <f t="shared" si="69"/>
        <v>12067976.94</v>
      </c>
      <c r="M367" s="231"/>
    </row>
    <row r="368" ht="15.75" customHeight="1">
      <c r="B368" s="237" t="s">
        <v>2112</v>
      </c>
      <c r="C368" s="92"/>
      <c r="D368" s="615">
        <f t="shared" ref="D368:E368" si="70">D367+D360</f>
        <v>15875757.89</v>
      </c>
      <c r="E368" s="615">
        <f t="shared" si="70"/>
        <v>12821048.82</v>
      </c>
      <c r="M368" s="231"/>
    </row>
    <row r="369" ht="15.75" customHeight="1">
      <c r="B369" s="208" t="s">
        <v>2113</v>
      </c>
      <c r="C369" s="92"/>
      <c r="D369" s="525">
        <f t="shared" ref="D369:E369" si="71">D360+D362+D364+D366+D367</f>
        <v>18602837.68</v>
      </c>
      <c r="E369" s="525">
        <f t="shared" si="71"/>
        <v>15061437.68</v>
      </c>
      <c r="M369" s="231"/>
    </row>
    <row r="370" ht="15.75" customHeight="1">
      <c r="M370" s="231"/>
    </row>
    <row r="371" ht="15.75" customHeight="1">
      <c r="M371" s="231"/>
    </row>
    <row r="372" ht="15.75" customHeight="1">
      <c r="B372" s="532" t="s">
        <v>2276</v>
      </c>
      <c r="C372" s="132"/>
      <c r="D372" s="133"/>
      <c r="M372" s="231"/>
    </row>
    <row r="373" ht="15.75" customHeight="1">
      <c r="B373" s="293" t="s">
        <v>1958</v>
      </c>
      <c r="C373" s="92"/>
      <c r="D373" s="535">
        <v>1.9870348014608003E7</v>
      </c>
      <c r="M373" s="231"/>
    </row>
    <row r="374" ht="15.75" customHeight="1">
      <c r="B374" s="496" t="s">
        <v>2277</v>
      </c>
      <c r="C374" s="92"/>
      <c r="D374" s="551">
        <v>1.363184E7</v>
      </c>
      <c r="M374" s="231"/>
    </row>
    <row r="375" ht="15.75" customHeight="1">
      <c r="B375" s="208"/>
      <c r="C375" s="92"/>
      <c r="D375" s="615">
        <f>D373-D374</f>
        <v>6238508.015</v>
      </c>
      <c r="M375" s="231"/>
    </row>
    <row r="376" ht="15.75" customHeight="1">
      <c r="B376" s="237" t="s">
        <v>1984</v>
      </c>
      <c r="C376" s="616">
        <v>0.05</v>
      </c>
      <c r="D376" s="233">
        <f>D375*C376</f>
        <v>311925.4007</v>
      </c>
      <c r="M376" s="231"/>
    </row>
    <row r="377" ht="15.75" customHeight="1">
      <c r="B377" s="617" t="s">
        <v>2097</v>
      </c>
      <c r="C377" s="208">
        <f>50000000/580000000</f>
        <v>0.08620689655</v>
      </c>
      <c r="D377" s="618">
        <f>D375-D376</f>
        <v>5926582.614</v>
      </c>
      <c r="M377" s="231"/>
    </row>
    <row r="378" ht="15.75" customHeight="1">
      <c r="B378" s="92"/>
      <c r="C378" s="92"/>
      <c r="D378" s="619">
        <f>D377*C377</f>
        <v>510912.2943</v>
      </c>
      <c r="M378" s="231"/>
    </row>
    <row r="379" ht="15.75" customHeight="1">
      <c r="B379" s="617" t="s">
        <v>2265</v>
      </c>
      <c r="C379" s="208">
        <f>25000000/580000000</f>
        <v>0.04310344828</v>
      </c>
      <c r="D379" s="618">
        <f>D375-D376</f>
        <v>5926582.614</v>
      </c>
      <c r="M379" s="231"/>
    </row>
    <row r="380" ht="15.75" customHeight="1">
      <c r="B380" s="92"/>
      <c r="C380" s="92"/>
      <c r="D380" s="619">
        <f>D379*C379</f>
        <v>255456.1471</v>
      </c>
      <c r="M380" s="231"/>
    </row>
    <row r="381" ht="15.75" customHeight="1">
      <c r="B381" s="617" t="s">
        <v>2278</v>
      </c>
      <c r="C381" s="208">
        <f>15000000/580000000</f>
        <v>0.02586206897</v>
      </c>
      <c r="D381" s="618">
        <f>D375-D376</f>
        <v>5926582.614</v>
      </c>
      <c r="M381" s="231"/>
    </row>
    <row r="382" ht="15.75" customHeight="1">
      <c r="B382" s="92"/>
      <c r="C382" s="92"/>
      <c r="D382" s="619">
        <f>D381*C381</f>
        <v>153273.6883</v>
      </c>
      <c r="M382" s="231"/>
    </row>
    <row r="383" ht="15.75" customHeight="1">
      <c r="B383" s="620" t="s">
        <v>2086</v>
      </c>
      <c r="C383" s="92"/>
      <c r="D383" s="545">
        <f>D377-D378-D380-D382</f>
        <v>5006940.484</v>
      </c>
      <c r="M383" s="231"/>
    </row>
    <row r="384" ht="15.75" customHeight="1">
      <c r="B384" s="237" t="s">
        <v>2112</v>
      </c>
      <c r="C384" s="92"/>
      <c r="D384" s="615">
        <f>D383+D376</f>
        <v>5318865.885</v>
      </c>
      <c r="M384" s="231"/>
    </row>
    <row r="385" ht="15.75" customHeight="1">
      <c r="B385" s="208" t="s">
        <v>2113</v>
      </c>
      <c r="C385" s="92"/>
      <c r="D385" s="525">
        <f>D376+D378+D380+D382+D383</f>
        <v>6238508.015</v>
      </c>
      <c r="M385" s="231"/>
    </row>
    <row r="386" ht="15.75" customHeight="1">
      <c r="M386" s="231"/>
    </row>
    <row r="387" ht="15.75" customHeight="1">
      <c r="M387" s="231"/>
    </row>
    <row r="388" ht="15.75" customHeight="1">
      <c r="M388" s="231"/>
    </row>
    <row r="389" ht="15.75" customHeight="1">
      <c r="M389" s="231"/>
    </row>
    <row r="390" ht="15.75" customHeight="1">
      <c r="M390" s="231"/>
    </row>
    <row r="391" ht="15.75" customHeight="1">
      <c r="M391" s="231"/>
    </row>
    <row r="392" ht="15.75" customHeight="1">
      <c r="M392" s="231"/>
    </row>
    <row r="393" ht="15.75" customHeight="1">
      <c r="M393" s="231"/>
    </row>
    <row r="394" ht="15.75" customHeight="1">
      <c r="M394" s="231"/>
    </row>
    <row r="395" ht="15.75" customHeight="1">
      <c r="M395" s="231"/>
    </row>
    <row r="396" ht="15.75" customHeight="1">
      <c r="M396" s="231"/>
    </row>
    <row r="397" ht="15.75" customHeight="1">
      <c r="M397" s="231"/>
    </row>
    <row r="398" ht="15.75" customHeight="1">
      <c r="M398" s="231"/>
    </row>
    <row r="399" ht="15.75" customHeight="1">
      <c r="M399" s="231"/>
    </row>
    <row r="400" ht="15.75" customHeight="1">
      <c r="M400" s="231"/>
    </row>
    <row r="401" ht="15.75" customHeight="1">
      <c r="M401" s="231"/>
    </row>
    <row r="402" ht="15.75" customHeight="1">
      <c r="M402" s="231"/>
    </row>
    <row r="403" ht="15.75" customHeight="1">
      <c r="M403" s="231"/>
    </row>
    <row r="404" ht="15.75" customHeight="1">
      <c r="M404" s="231"/>
    </row>
    <row r="405" ht="15.75" customHeight="1">
      <c r="M405" s="231"/>
    </row>
    <row r="406" ht="15.75" customHeight="1">
      <c r="M406" s="231"/>
    </row>
    <row r="407" ht="15.75" customHeight="1">
      <c r="M407" s="231"/>
    </row>
    <row r="408" ht="15.75" customHeight="1">
      <c r="M408" s="231"/>
    </row>
    <row r="409" ht="15.75" customHeight="1">
      <c r="M409" s="231"/>
    </row>
    <row r="410" ht="15.75" customHeight="1">
      <c r="M410" s="231"/>
    </row>
    <row r="411" ht="15.75" customHeight="1">
      <c r="M411" s="231"/>
    </row>
    <row r="412" ht="15.75" customHeight="1">
      <c r="M412" s="231"/>
    </row>
    <row r="413" ht="15.75" customHeight="1">
      <c r="M413" s="231"/>
    </row>
    <row r="414" ht="15.75" customHeight="1">
      <c r="M414" s="231"/>
    </row>
    <row r="415" ht="15.75" customHeight="1">
      <c r="M415" s="231"/>
    </row>
    <row r="416" ht="15.75" customHeight="1">
      <c r="M416" s="231"/>
    </row>
    <row r="417" ht="15.75" customHeight="1">
      <c r="M417" s="231"/>
    </row>
    <row r="418" ht="15.75" customHeight="1">
      <c r="M418" s="231"/>
    </row>
    <row r="419" ht="15.75" customHeight="1">
      <c r="M419" s="231"/>
    </row>
    <row r="420" ht="15.75" customHeight="1">
      <c r="M420" s="231"/>
    </row>
    <row r="421" ht="15.75" customHeight="1">
      <c r="M421" s="231"/>
    </row>
    <row r="422" ht="15.75" customHeight="1">
      <c r="M422" s="231"/>
    </row>
    <row r="423" ht="15.75" customHeight="1">
      <c r="M423" s="231"/>
    </row>
    <row r="424" ht="15.75" customHeight="1">
      <c r="M424" s="231"/>
    </row>
    <row r="425" ht="15.75" customHeight="1">
      <c r="M425" s="231"/>
    </row>
    <row r="426" ht="15.75" customHeight="1">
      <c r="M426" s="231"/>
    </row>
    <row r="427" ht="15.75" customHeight="1">
      <c r="M427" s="231"/>
    </row>
    <row r="428" ht="15.75" customHeight="1">
      <c r="M428" s="231"/>
    </row>
    <row r="429" ht="15.75" customHeight="1">
      <c r="M429" s="231"/>
    </row>
    <row r="430" ht="15.75" customHeight="1">
      <c r="M430" s="231"/>
    </row>
    <row r="431" ht="15.75" customHeight="1">
      <c r="M431" s="231"/>
    </row>
    <row r="432" ht="15.75" customHeight="1">
      <c r="M432" s="231"/>
    </row>
    <row r="433" ht="15.75" customHeight="1">
      <c r="M433" s="231"/>
    </row>
    <row r="434" ht="15.75" customHeight="1">
      <c r="M434" s="231"/>
    </row>
    <row r="435" ht="15.75" customHeight="1">
      <c r="M435" s="231"/>
    </row>
    <row r="436" ht="15.75" customHeight="1">
      <c r="M436" s="231"/>
    </row>
    <row r="437" ht="15.75" customHeight="1">
      <c r="M437" s="231"/>
    </row>
    <row r="438" ht="15.75" customHeight="1">
      <c r="M438" s="231"/>
    </row>
    <row r="439" ht="15.75" customHeight="1">
      <c r="M439" s="231"/>
    </row>
    <row r="440" ht="15.75" customHeight="1">
      <c r="M440" s="231"/>
    </row>
    <row r="441" ht="15.75" customHeight="1">
      <c r="M441" s="231"/>
    </row>
    <row r="442" ht="15.75" customHeight="1">
      <c r="M442" s="231"/>
    </row>
    <row r="443" ht="15.75" customHeight="1">
      <c r="M443" s="231"/>
    </row>
    <row r="444" ht="15.75" customHeight="1">
      <c r="M444" s="231"/>
    </row>
    <row r="445" ht="15.75" customHeight="1">
      <c r="M445" s="231"/>
    </row>
    <row r="446" ht="15.75" customHeight="1">
      <c r="M446" s="231"/>
    </row>
    <row r="447" ht="15.75" customHeight="1">
      <c r="M447" s="231"/>
    </row>
    <row r="448" ht="15.75" customHeight="1">
      <c r="M448" s="231"/>
    </row>
    <row r="449" ht="15.75" customHeight="1">
      <c r="M449" s="231"/>
    </row>
    <row r="450" ht="15.75" customHeight="1">
      <c r="M450" s="231"/>
    </row>
    <row r="451" ht="15.75" customHeight="1">
      <c r="M451" s="231"/>
    </row>
    <row r="452" ht="15.75" customHeight="1">
      <c r="M452" s="231"/>
    </row>
    <row r="453" ht="15.75" customHeight="1">
      <c r="M453" s="231"/>
    </row>
    <row r="454" ht="15.75" customHeight="1">
      <c r="M454" s="231"/>
    </row>
    <row r="455" ht="15.75" customHeight="1">
      <c r="M455" s="231"/>
    </row>
    <row r="456" ht="15.75" customHeight="1">
      <c r="M456" s="231"/>
    </row>
    <row r="457" ht="15.75" customHeight="1">
      <c r="M457" s="231"/>
    </row>
    <row r="458" ht="15.75" customHeight="1">
      <c r="M458" s="231"/>
    </row>
    <row r="459" ht="15.75" customHeight="1">
      <c r="M459" s="231"/>
    </row>
    <row r="460" ht="15.75" customHeight="1">
      <c r="M460" s="231"/>
    </row>
    <row r="461" ht="15.75" customHeight="1">
      <c r="M461" s="231"/>
    </row>
    <row r="462" ht="15.75" customHeight="1">
      <c r="M462" s="231"/>
    </row>
    <row r="463" ht="15.75" customHeight="1">
      <c r="M463" s="231"/>
    </row>
    <row r="464" ht="15.75" customHeight="1">
      <c r="M464" s="231"/>
    </row>
    <row r="465" ht="15.75" customHeight="1">
      <c r="M465" s="231"/>
    </row>
    <row r="466" ht="15.75" customHeight="1">
      <c r="M466" s="231"/>
    </row>
    <row r="467" ht="15.75" customHeight="1">
      <c r="M467" s="231"/>
    </row>
    <row r="468" ht="15.75" customHeight="1">
      <c r="M468" s="231"/>
    </row>
    <row r="469" ht="15.75" customHeight="1">
      <c r="M469" s="231"/>
    </row>
    <row r="470" ht="15.75" customHeight="1">
      <c r="M470" s="231"/>
    </row>
    <row r="471" ht="15.75" customHeight="1">
      <c r="M471" s="231"/>
    </row>
    <row r="472" ht="15.75" customHeight="1">
      <c r="M472" s="231"/>
    </row>
    <row r="473" ht="15.75" customHeight="1">
      <c r="M473" s="231"/>
    </row>
    <row r="474" ht="15.75" customHeight="1">
      <c r="M474" s="231"/>
    </row>
    <row r="475" ht="15.75" customHeight="1">
      <c r="M475" s="231"/>
    </row>
    <row r="476" ht="15.75" customHeight="1">
      <c r="M476" s="231"/>
    </row>
    <row r="477" ht="15.75" customHeight="1">
      <c r="M477" s="231"/>
    </row>
    <row r="478" ht="15.75" customHeight="1">
      <c r="M478" s="231"/>
    </row>
    <row r="479" ht="15.75" customHeight="1">
      <c r="M479" s="231"/>
    </row>
    <row r="480" ht="15.75" customHeight="1">
      <c r="M480" s="231"/>
    </row>
    <row r="481" ht="15.75" customHeight="1">
      <c r="M481" s="231"/>
    </row>
    <row r="482" ht="15.75" customHeight="1">
      <c r="M482" s="231"/>
    </row>
    <row r="483" ht="15.75" customHeight="1">
      <c r="M483" s="231"/>
    </row>
    <row r="484" ht="15.75" customHeight="1">
      <c r="M484" s="231"/>
    </row>
    <row r="485" ht="15.75" customHeight="1">
      <c r="M485" s="231"/>
    </row>
    <row r="486" ht="15.75" customHeight="1">
      <c r="M486" s="231"/>
    </row>
    <row r="487" ht="15.75" customHeight="1">
      <c r="M487" s="231"/>
    </row>
    <row r="488" ht="15.75" customHeight="1">
      <c r="M488" s="231"/>
    </row>
    <row r="489" ht="15.75" customHeight="1">
      <c r="M489" s="231"/>
    </row>
    <row r="490" ht="15.75" customHeight="1">
      <c r="M490" s="231"/>
    </row>
    <row r="491" ht="15.75" customHeight="1">
      <c r="M491" s="231"/>
    </row>
    <row r="492" ht="15.75" customHeight="1">
      <c r="M492" s="231"/>
    </row>
    <row r="493" ht="15.75" customHeight="1">
      <c r="M493" s="231"/>
    </row>
    <row r="494" ht="15.75" customHeight="1">
      <c r="M494" s="231"/>
    </row>
    <row r="495" ht="15.75" customHeight="1">
      <c r="M495" s="231"/>
    </row>
    <row r="496" ht="15.75" customHeight="1">
      <c r="M496" s="231"/>
    </row>
    <row r="497" ht="15.75" customHeight="1">
      <c r="M497" s="231"/>
    </row>
    <row r="498" ht="15.75" customHeight="1">
      <c r="M498" s="231"/>
    </row>
    <row r="499" ht="15.75" customHeight="1">
      <c r="M499" s="231"/>
    </row>
    <row r="500" ht="15.75" customHeight="1">
      <c r="M500" s="231"/>
    </row>
    <row r="501" ht="15.75" customHeight="1">
      <c r="M501" s="231"/>
    </row>
    <row r="502" ht="15.75" customHeight="1">
      <c r="M502" s="231"/>
    </row>
    <row r="503" ht="15.75" customHeight="1">
      <c r="M503" s="231"/>
    </row>
    <row r="504" ht="15.75" customHeight="1">
      <c r="M504" s="231"/>
    </row>
    <row r="505" ht="15.75" customHeight="1">
      <c r="M505" s="231"/>
    </row>
    <row r="506" ht="15.75" customHeight="1">
      <c r="M506" s="231"/>
    </row>
    <row r="507" ht="15.75" customHeight="1">
      <c r="M507" s="231"/>
    </row>
    <row r="508" ht="15.75" customHeight="1">
      <c r="M508" s="231"/>
    </row>
    <row r="509" ht="15.75" customHeight="1">
      <c r="M509" s="231"/>
    </row>
    <row r="510" ht="15.75" customHeight="1">
      <c r="M510" s="231"/>
    </row>
    <row r="511" ht="15.75" customHeight="1">
      <c r="M511" s="231"/>
    </row>
    <row r="512" ht="15.75" customHeight="1">
      <c r="M512" s="231"/>
    </row>
    <row r="513" ht="15.75" customHeight="1">
      <c r="M513" s="231"/>
    </row>
    <row r="514" ht="15.75" customHeight="1">
      <c r="M514" s="231"/>
    </row>
    <row r="515" ht="15.75" customHeight="1">
      <c r="M515" s="231"/>
    </row>
    <row r="516" ht="15.75" customHeight="1">
      <c r="M516" s="231"/>
    </row>
    <row r="517" ht="15.75" customHeight="1">
      <c r="M517" s="231"/>
    </row>
    <row r="518" ht="15.75" customHeight="1">
      <c r="M518" s="231"/>
    </row>
    <row r="519" ht="15.75" customHeight="1">
      <c r="M519" s="231"/>
    </row>
    <row r="520" ht="15.75" customHeight="1">
      <c r="M520" s="231"/>
    </row>
    <row r="521" ht="15.75" customHeight="1">
      <c r="M521" s="231"/>
    </row>
    <row r="522" ht="15.75" customHeight="1">
      <c r="M522" s="231"/>
    </row>
    <row r="523" ht="15.75" customHeight="1">
      <c r="M523" s="231"/>
    </row>
    <row r="524" ht="15.75" customHeight="1">
      <c r="M524" s="231"/>
    </row>
    <row r="525" ht="15.75" customHeight="1">
      <c r="M525" s="231"/>
    </row>
    <row r="526" ht="15.75" customHeight="1">
      <c r="M526" s="231"/>
    </row>
    <row r="527" ht="15.75" customHeight="1">
      <c r="M527" s="231"/>
    </row>
    <row r="528" ht="15.75" customHeight="1">
      <c r="M528" s="231"/>
    </row>
    <row r="529" ht="15.75" customHeight="1">
      <c r="M529" s="231"/>
    </row>
    <row r="530" ht="15.75" customHeight="1">
      <c r="M530" s="231"/>
    </row>
    <row r="531" ht="15.75" customHeight="1">
      <c r="M531" s="231"/>
    </row>
    <row r="532" ht="15.75" customHeight="1">
      <c r="M532" s="231"/>
    </row>
    <row r="533" ht="15.75" customHeight="1">
      <c r="M533" s="231"/>
    </row>
    <row r="534" ht="15.75" customHeight="1">
      <c r="M534" s="231"/>
    </row>
    <row r="535" ht="15.75" customHeight="1">
      <c r="M535" s="231"/>
    </row>
    <row r="536" ht="15.75" customHeight="1">
      <c r="M536" s="231"/>
    </row>
    <row r="537" ht="15.75" customHeight="1">
      <c r="M537" s="231"/>
    </row>
    <row r="538" ht="15.75" customHeight="1">
      <c r="M538" s="231"/>
    </row>
    <row r="539" ht="15.75" customHeight="1">
      <c r="M539" s="231"/>
    </row>
    <row r="540" ht="15.75" customHeight="1">
      <c r="M540" s="231"/>
    </row>
    <row r="541" ht="15.75" customHeight="1">
      <c r="M541" s="231"/>
    </row>
    <row r="542" ht="15.75" customHeight="1">
      <c r="M542" s="231"/>
    </row>
    <row r="543" ht="15.75" customHeight="1">
      <c r="M543" s="231"/>
    </row>
    <row r="544" ht="15.75" customHeight="1">
      <c r="M544" s="231"/>
    </row>
    <row r="545" ht="15.75" customHeight="1">
      <c r="M545" s="231"/>
    </row>
    <row r="546" ht="15.75" customHeight="1">
      <c r="M546" s="231"/>
    </row>
    <row r="547" ht="15.75" customHeight="1">
      <c r="M547" s="231"/>
    </row>
    <row r="548" ht="15.75" customHeight="1">
      <c r="M548" s="231"/>
    </row>
    <row r="549" ht="15.75" customHeight="1">
      <c r="M549" s="231"/>
    </row>
    <row r="550" ht="15.75" customHeight="1">
      <c r="M550" s="231"/>
    </row>
    <row r="551" ht="15.75" customHeight="1">
      <c r="M551" s="231"/>
    </row>
    <row r="552" ht="15.75" customHeight="1">
      <c r="M552" s="231"/>
    </row>
    <row r="553" ht="15.75" customHeight="1">
      <c r="M553" s="231"/>
    </row>
    <row r="554" ht="15.75" customHeight="1">
      <c r="M554" s="231"/>
    </row>
    <row r="555" ht="15.75" customHeight="1">
      <c r="M555" s="231"/>
    </row>
    <row r="556" ht="15.75" customHeight="1">
      <c r="M556" s="231"/>
    </row>
    <row r="557" ht="15.75" customHeight="1">
      <c r="M557" s="231"/>
    </row>
    <row r="558" ht="15.75" customHeight="1">
      <c r="M558" s="231"/>
    </row>
    <row r="559" ht="15.75" customHeight="1">
      <c r="M559" s="231"/>
    </row>
    <row r="560" ht="15.75" customHeight="1">
      <c r="M560" s="231"/>
    </row>
    <row r="561" ht="15.75" customHeight="1">
      <c r="M561" s="231"/>
    </row>
    <row r="562" ht="15.75" customHeight="1">
      <c r="M562" s="231"/>
    </row>
    <row r="563" ht="15.75" customHeight="1">
      <c r="M563" s="231"/>
    </row>
    <row r="564" ht="15.75" customHeight="1">
      <c r="M564" s="231"/>
    </row>
    <row r="565" ht="15.75" customHeight="1">
      <c r="M565" s="231"/>
    </row>
    <row r="566" ht="15.75" customHeight="1">
      <c r="M566" s="231"/>
    </row>
    <row r="567" ht="15.75" customHeight="1">
      <c r="M567" s="231"/>
    </row>
    <row r="568" ht="15.75" customHeight="1">
      <c r="M568" s="231"/>
    </row>
    <row r="569" ht="15.75" customHeight="1">
      <c r="M569" s="231"/>
    </row>
    <row r="570" ht="15.75" customHeight="1">
      <c r="M570" s="231"/>
    </row>
    <row r="571" ht="15.75" customHeight="1">
      <c r="M571" s="231"/>
    </row>
    <row r="572" ht="15.75" customHeight="1">
      <c r="M572" s="231"/>
    </row>
    <row r="573" ht="15.75" customHeight="1">
      <c r="M573" s="231"/>
    </row>
    <row r="574" ht="15.75" customHeight="1">
      <c r="M574" s="231"/>
    </row>
    <row r="575" ht="15.75" customHeight="1">
      <c r="M575" s="231"/>
    </row>
    <row r="576" ht="15.75" customHeight="1">
      <c r="M576" s="231"/>
    </row>
    <row r="577" ht="15.75" customHeight="1">
      <c r="M577" s="231"/>
    </row>
    <row r="578" ht="15.75" customHeight="1">
      <c r="M578" s="231"/>
    </row>
    <row r="579" ht="15.75" customHeight="1">
      <c r="M579" s="231"/>
    </row>
    <row r="580" ht="15.75" customHeight="1">
      <c r="M580" s="231"/>
    </row>
    <row r="581" ht="15.75" customHeight="1">
      <c r="M581" s="231"/>
    </row>
    <row r="582" ht="15.75" customHeight="1">
      <c r="M582" s="231"/>
    </row>
    <row r="583" ht="15.75" customHeight="1">
      <c r="M583" s="231"/>
    </row>
    <row r="584" ht="15.75" customHeight="1">
      <c r="M584" s="231"/>
    </row>
    <row r="585" ht="15.75" customHeight="1">
      <c r="M585" s="231"/>
    </row>
    <row r="586" ht="15.75" customHeight="1">
      <c r="M586" s="231"/>
    </row>
    <row r="587" ht="15.75" customHeight="1">
      <c r="M587" s="231"/>
    </row>
    <row r="588" ht="15.75" customHeight="1">
      <c r="M588" s="231"/>
    </row>
    <row r="589" ht="15.75" customHeight="1">
      <c r="M589" s="231"/>
    </row>
    <row r="590" ht="15.75" customHeight="1">
      <c r="M590" s="231"/>
    </row>
    <row r="591" ht="15.75" customHeight="1">
      <c r="M591" s="231"/>
    </row>
    <row r="592" ht="15.75" customHeight="1">
      <c r="M592" s="231"/>
    </row>
    <row r="593" ht="15.75" customHeight="1">
      <c r="M593" s="231"/>
    </row>
    <row r="594" ht="15.75" customHeight="1">
      <c r="M594" s="231"/>
    </row>
    <row r="595" ht="15.75" customHeight="1">
      <c r="M595" s="231"/>
    </row>
    <row r="596" ht="15.75" customHeight="1">
      <c r="M596" s="231"/>
    </row>
    <row r="597" ht="15.75" customHeight="1">
      <c r="M597" s="231"/>
    </row>
    <row r="598" ht="15.75" customHeight="1">
      <c r="M598" s="231"/>
    </row>
    <row r="599" ht="15.75" customHeight="1">
      <c r="M599" s="231"/>
    </row>
    <row r="600" ht="15.75" customHeight="1">
      <c r="M600" s="231"/>
    </row>
    <row r="601" ht="15.75" customHeight="1">
      <c r="M601" s="231"/>
    </row>
    <row r="602" ht="15.75" customHeight="1">
      <c r="M602" s="231"/>
    </row>
    <row r="603" ht="15.75" customHeight="1">
      <c r="M603" s="231"/>
    </row>
    <row r="604" ht="15.75" customHeight="1">
      <c r="M604" s="231"/>
    </row>
    <row r="605" ht="15.75" customHeight="1">
      <c r="M605" s="231"/>
    </row>
    <row r="606" ht="15.75" customHeight="1">
      <c r="M606" s="231"/>
    </row>
    <row r="607" ht="15.75" customHeight="1">
      <c r="M607" s="231"/>
    </row>
    <row r="608" ht="15.75" customHeight="1">
      <c r="M608" s="231"/>
    </row>
    <row r="609" ht="15.75" customHeight="1">
      <c r="M609" s="231"/>
    </row>
    <row r="610" ht="15.75" customHeight="1">
      <c r="M610" s="231"/>
    </row>
    <row r="611" ht="15.75" customHeight="1">
      <c r="M611" s="231"/>
    </row>
    <row r="612" ht="15.75" customHeight="1">
      <c r="M612" s="231"/>
    </row>
    <row r="613" ht="15.75" customHeight="1">
      <c r="M613" s="231"/>
    </row>
    <row r="614" ht="15.75" customHeight="1">
      <c r="M614" s="231"/>
    </row>
    <row r="615" ht="15.75" customHeight="1">
      <c r="M615" s="231"/>
    </row>
    <row r="616" ht="15.75" customHeight="1">
      <c r="M616" s="231"/>
    </row>
    <row r="617" ht="15.75" customHeight="1">
      <c r="M617" s="231"/>
    </row>
    <row r="618" ht="15.75" customHeight="1">
      <c r="M618" s="231"/>
    </row>
    <row r="619" ht="15.75" customHeight="1">
      <c r="M619" s="231"/>
    </row>
    <row r="620" ht="15.75" customHeight="1">
      <c r="M620" s="231"/>
    </row>
    <row r="621" ht="15.75" customHeight="1">
      <c r="M621" s="231"/>
    </row>
    <row r="622" ht="15.75" customHeight="1">
      <c r="M622" s="231"/>
    </row>
    <row r="623" ht="15.75" customHeight="1">
      <c r="M623" s="231"/>
    </row>
    <row r="624" ht="15.75" customHeight="1">
      <c r="M624" s="231"/>
    </row>
    <row r="625" ht="15.75" customHeight="1">
      <c r="M625" s="231"/>
    </row>
    <row r="626" ht="15.75" customHeight="1">
      <c r="M626" s="231"/>
    </row>
    <row r="627" ht="15.75" customHeight="1">
      <c r="M627" s="231"/>
    </row>
    <row r="628" ht="15.75" customHeight="1">
      <c r="M628" s="231"/>
    </row>
    <row r="629" ht="15.75" customHeight="1">
      <c r="M629" s="231"/>
    </row>
    <row r="630" ht="15.75" customHeight="1">
      <c r="M630" s="231"/>
    </row>
    <row r="631" ht="15.75" customHeight="1">
      <c r="M631" s="231"/>
    </row>
    <row r="632" ht="15.75" customHeight="1">
      <c r="M632" s="231"/>
    </row>
    <row r="633" ht="15.75" customHeight="1">
      <c r="M633" s="231"/>
    </row>
    <row r="634" ht="15.75" customHeight="1">
      <c r="M634" s="231"/>
    </row>
    <row r="635" ht="15.75" customHeight="1">
      <c r="M635" s="231"/>
    </row>
    <row r="636" ht="15.75" customHeight="1">
      <c r="M636" s="231"/>
    </row>
    <row r="637" ht="15.75" customHeight="1">
      <c r="M637" s="231"/>
    </row>
    <row r="638" ht="15.75" customHeight="1">
      <c r="M638" s="231"/>
    </row>
    <row r="639" ht="15.75" customHeight="1">
      <c r="M639" s="231"/>
    </row>
    <row r="640" ht="15.75" customHeight="1">
      <c r="M640" s="231"/>
    </row>
    <row r="641" ht="15.75" customHeight="1">
      <c r="M641" s="231"/>
    </row>
    <row r="642" ht="15.75" customHeight="1">
      <c r="M642" s="231"/>
    </row>
    <row r="643" ht="15.75" customHeight="1">
      <c r="M643" s="231"/>
    </row>
    <row r="644" ht="15.75" customHeight="1">
      <c r="M644" s="231"/>
    </row>
    <row r="645" ht="15.75" customHeight="1">
      <c r="M645" s="231"/>
    </row>
    <row r="646" ht="15.75" customHeight="1">
      <c r="M646" s="231"/>
    </row>
    <row r="647" ht="15.75" customHeight="1">
      <c r="M647" s="231"/>
    </row>
    <row r="648" ht="15.75" customHeight="1">
      <c r="M648" s="231"/>
    </row>
    <row r="649" ht="15.75" customHeight="1">
      <c r="M649" s="231"/>
    </row>
    <row r="650" ht="15.75" customHeight="1">
      <c r="M650" s="231"/>
    </row>
    <row r="651" ht="15.75" customHeight="1">
      <c r="M651" s="231"/>
    </row>
    <row r="652" ht="15.75" customHeight="1">
      <c r="M652" s="231"/>
    </row>
    <row r="653" ht="15.75" customHeight="1">
      <c r="M653" s="231"/>
    </row>
    <row r="654" ht="15.75" customHeight="1">
      <c r="M654" s="231"/>
    </row>
    <row r="655" ht="15.75" customHeight="1">
      <c r="M655" s="231"/>
    </row>
    <row r="656" ht="15.75" customHeight="1">
      <c r="M656" s="231"/>
    </row>
    <row r="657" ht="15.75" customHeight="1">
      <c r="M657" s="231"/>
    </row>
    <row r="658" ht="15.75" customHeight="1">
      <c r="M658" s="231"/>
    </row>
    <row r="659" ht="15.75" customHeight="1">
      <c r="M659" s="231"/>
    </row>
    <row r="660" ht="15.75" customHeight="1">
      <c r="M660" s="231"/>
    </row>
    <row r="661" ht="15.75" customHeight="1">
      <c r="M661" s="231"/>
    </row>
    <row r="662" ht="15.75" customHeight="1">
      <c r="M662" s="231"/>
    </row>
    <row r="663" ht="15.75" customHeight="1">
      <c r="M663" s="231"/>
    </row>
    <row r="664" ht="15.75" customHeight="1">
      <c r="M664" s="231"/>
    </row>
    <row r="665" ht="15.75" customHeight="1">
      <c r="M665" s="231"/>
    </row>
    <row r="666" ht="15.75" customHeight="1">
      <c r="M666" s="231"/>
    </row>
    <row r="667" ht="15.75" customHeight="1">
      <c r="M667" s="231"/>
    </row>
    <row r="668" ht="15.75" customHeight="1">
      <c r="M668" s="231"/>
    </row>
    <row r="669" ht="15.75" customHeight="1">
      <c r="M669" s="231"/>
    </row>
    <row r="670" ht="15.75" customHeight="1">
      <c r="M670" s="231"/>
    </row>
    <row r="671" ht="15.75" customHeight="1">
      <c r="M671" s="231"/>
    </row>
    <row r="672" ht="15.75" customHeight="1">
      <c r="M672" s="231"/>
    </row>
    <row r="673" ht="15.75" customHeight="1">
      <c r="M673" s="231"/>
    </row>
    <row r="674" ht="15.75" customHeight="1">
      <c r="M674" s="231"/>
    </row>
    <row r="675" ht="15.75" customHeight="1">
      <c r="M675" s="231"/>
    </row>
    <row r="676" ht="15.75" customHeight="1">
      <c r="M676" s="231"/>
    </row>
    <row r="677" ht="15.75" customHeight="1">
      <c r="M677" s="231"/>
    </row>
    <row r="678" ht="15.75" customHeight="1">
      <c r="M678" s="231"/>
    </row>
    <row r="679" ht="15.75" customHeight="1">
      <c r="M679" s="231"/>
    </row>
    <row r="680" ht="15.75" customHeight="1">
      <c r="M680" s="231"/>
    </row>
    <row r="681" ht="15.75" customHeight="1">
      <c r="M681" s="231"/>
    </row>
    <row r="682" ht="15.75" customHeight="1">
      <c r="M682" s="231"/>
    </row>
    <row r="683" ht="15.75" customHeight="1">
      <c r="M683" s="231"/>
    </row>
    <row r="684" ht="15.75" customHeight="1">
      <c r="M684" s="231"/>
    </row>
    <row r="685" ht="15.75" customHeight="1">
      <c r="M685" s="231"/>
    </row>
    <row r="686" ht="15.75" customHeight="1">
      <c r="M686" s="231"/>
    </row>
    <row r="687" ht="15.75" customHeight="1">
      <c r="M687" s="231"/>
    </row>
    <row r="688" ht="15.75" customHeight="1">
      <c r="M688" s="231"/>
    </row>
    <row r="689" ht="15.75" customHeight="1">
      <c r="M689" s="231"/>
    </row>
    <row r="690" ht="15.75" customHeight="1">
      <c r="M690" s="231"/>
    </row>
    <row r="691" ht="15.75" customHeight="1">
      <c r="M691" s="231"/>
    </row>
    <row r="692" ht="15.75" customHeight="1">
      <c r="M692" s="231"/>
    </row>
    <row r="693" ht="15.75" customHeight="1">
      <c r="M693" s="231"/>
    </row>
    <row r="694" ht="15.75" customHeight="1">
      <c r="M694" s="231"/>
    </row>
    <row r="695" ht="15.75" customHeight="1">
      <c r="M695" s="231"/>
    </row>
    <row r="696" ht="15.75" customHeight="1">
      <c r="M696" s="231"/>
    </row>
    <row r="697" ht="15.75" customHeight="1">
      <c r="M697" s="231"/>
    </row>
    <row r="698" ht="15.75" customHeight="1">
      <c r="M698" s="231"/>
    </row>
    <row r="699" ht="15.75" customHeight="1">
      <c r="M699" s="231"/>
    </row>
    <row r="700" ht="15.75" customHeight="1">
      <c r="M700" s="231"/>
    </row>
    <row r="701" ht="15.75" customHeight="1">
      <c r="M701" s="231"/>
    </row>
    <row r="702" ht="15.75" customHeight="1">
      <c r="M702" s="231"/>
    </row>
    <row r="703" ht="15.75" customHeight="1">
      <c r="M703" s="231"/>
    </row>
    <row r="704" ht="15.75" customHeight="1">
      <c r="M704" s="231"/>
    </row>
    <row r="705" ht="15.75" customHeight="1">
      <c r="M705" s="231"/>
    </row>
    <row r="706" ht="15.75" customHeight="1">
      <c r="M706" s="231"/>
    </row>
    <row r="707" ht="15.75" customHeight="1">
      <c r="M707" s="231"/>
    </row>
    <row r="708" ht="15.75" customHeight="1">
      <c r="M708" s="231"/>
    </row>
    <row r="709" ht="15.75" customHeight="1">
      <c r="M709" s="231"/>
    </row>
    <row r="710" ht="15.75" customHeight="1">
      <c r="M710" s="231"/>
    </row>
    <row r="711" ht="15.75" customHeight="1">
      <c r="M711" s="231"/>
    </row>
    <row r="712" ht="15.75" customHeight="1">
      <c r="M712" s="231"/>
    </row>
    <row r="713" ht="15.75" customHeight="1">
      <c r="M713" s="231"/>
    </row>
    <row r="714" ht="15.75" customHeight="1">
      <c r="M714" s="231"/>
    </row>
    <row r="715" ht="15.75" customHeight="1">
      <c r="M715" s="231"/>
    </row>
    <row r="716" ht="15.75" customHeight="1">
      <c r="M716" s="231"/>
    </row>
    <row r="717" ht="15.75" customHeight="1">
      <c r="M717" s="231"/>
    </row>
    <row r="718" ht="15.75" customHeight="1">
      <c r="M718" s="231"/>
    </row>
    <row r="719" ht="15.75" customHeight="1">
      <c r="M719" s="231"/>
    </row>
    <row r="720" ht="15.75" customHeight="1">
      <c r="M720" s="231"/>
    </row>
    <row r="721" ht="15.75" customHeight="1">
      <c r="M721" s="231"/>
    </row>
    <row r="722" ht="15.75" customHeight="1">
      <c r="M722" s="231"/>
    </row>
    <row r="723" ht="15.75" customHeight="1">
      <c r="M723" s="231"/>
    </row>
    <row r="724" ht="15.75" customHeight="1">
      <c r="M724" s="231"/>
    </row>
    <row r="725" ht="15.75" customHeight="1">
      <c r="M725" s="231"/>
    </row>
    <row r="726" ht="15.75" customHeight="1">
      <c r="M726" s="231"/>
    </row>
    <row r="727" ht="15.75" customHeight="1">
      <c r="M727" s="231"/>
    </row>
    <row r="728" ht="15.75" customHeight="1">
      <c r="M728" s="231"/>
    </row>
    <row r="729" ht="15.75" customHeight="1">
      <c r="M729" s="231"/>
    </row>
    <row r="730" ht="15.75" customHeight="1">
      <c r="M730" s="231"/>
    </row>
    <row r="731" ht="15.75" customHeight="1">
      <c r="M731" s="231"/>
    </row>
    <row r="732" ht="15.75" customHeight="1">
      <c r="M732" s="231"/>
    </row>
    <row r="733" ht="15.75" customHeight="1">
      <c r="M733" s="231"/>
    </row>
    <row r="734" ht="15.75" customHeight="1">
      <c r="M734" s="231"/>
    </row>
    <row r="735" ht="15.75" customHeight="1">
      <c r="M735" s="231"/>
    </row>
    <row r="736" ht="15.75" customHeight="1">
      <c r="M736" s="231"/>
    </row>
    <row r="737" ht="15.75" customHeight="1">
      <c r="M737" s="231"/>
    </row>
    <row r="738" ht="15.75" customHeight="1">
      <c r="M738" s="231"/>
    </row>
    <row r="739" ht="15.75" customHeight="1">
      <c r="M739" s="231"/>
    </row>
    <row r="740" ht="15.75" customHeight="1">
      <c r="M740" s="231"/>
    </row>
    <row r="741" ht="15.75" customHeight="1">
      <c r="M741" s="231"/>
    </row>
    <row r="742" ht="15.75" customHeight="1">
      <c r="M742" s="231"/>
    </row>
    <row r="743" ht="15.75" customHeight="1">
      <c r="M743" s="231"/>
    </row>
    <row r="744" ht="15.75" customHeight="1">
      <c r="M744" s="231"/>
    </row>
    <row r="745" ht="15.75" customHeight="1">
      <c r="M745" s="231"/>
    </row>
    <row r="746" ht="15.75" customHeight="1">
      <c r="M746" s="231"/>
    </row>
    <row r="747" ht="15.75" customHeight="1">
      <c r="M747" s="231"/>
    </row>
    <row r="748" ht="15.75" customHeight="1">
      <c r="M748" s="231"/>
    </row>
    <row r="749" ht="15.75" customHeight="1">
      <c r="M749" s="231"/>
    </row>
    <row r="750" ht="15.75" customHeight="1">
      <c r="M750" s="231"/>
    </row>
    <row r="751" ht="15.75" customHeight="1">
      <c r="M751" s="231"/>
    </row>
    <row r="752" ht="15.75" customHeight="1">
      <c r="M752" s="231"/>
    </row>
    <row r="753" ht="15.75" customHeight="1">
      <c r="M753" s="231"/>
    </row>
    <row r="754" ht="15.75" customHeight="1">
      <c r="M754" s="231"/>
    </row>
    <row r="755" ht="15.75" customHeight="1">
      <c r="M755" s="231"/>
    </row>
    <row r="756" ht="15.75" customHeight="1">
      <c r="M756" s="231"/>
    </row>
    <row r="757" ht="15.75" customHeight="1">
      <c r="M757" s="231"/>
    </row>
    <row r="758" ht="15.75" customHeight="1">
      <c r="M758" s="231"/>
    </row>
    <row r="759" ht="15.75" customHeight="1">
      <c r="M759" s="231"/>
    </row>
    <row r="760" ht="15.75" customHeight="1">
      <c r="M760" s="231"/>
    </row>
    <row r="761" ht="15.75" customHeight="1">
      <c r="M761" s="231"/>
    </row>
    <row r="762" ht="15.75" customHeight="1">
      <c r="M762" s="231"/>
    </row>
    <row r="763" ht="15.75" customHeight="1">
      <c r="M763" s="231"/>
    </row>
    <row r="764" ht="15.75" customHeight="1">
      <c r="M764" s="231"/>
    </row>
    <row r="765" ht="15.75" customHeight="1">
      <c r="M765" s="231"/>
    </row>
    <row r="766" ht="15.75" customHeight="1">
      <c r="M766" s="231"/>
    </row>
    <row r="767" ht="15.75" customHeight="1">
      <c r="M767" s="231"/>
    </row>
    <row r="768" ht="15.75" customHeight="1">
      <c r="M768" s="231"/>
    </row>
    <row r="769" ht="15.75" customHeight="1">
      <c r="M769" s="231"/>
    </row>
    <row r="770" ht="15.75" customHeight="1">
      <c r="M770" s="231"/>
    </row>
    <row r="771" ht="15.75" customHeight="1">
      <c r="M771" s="231"/>
    </row>
    <row r="772" ht="15.75" customHeight="1">
      <c r="M772" s="231"/>
    </row>
    <row r="773" ht="15.75" customHeight="1">
      <c r="M773" s="231"/>
    </row>
    <row r="774" ht="15.75" customHeight="1">
      <c r="M774" s="231"/>
    </row>
    <row r="775" ht="15.75" customHeight="1">
      <c r="M775" s="231"/>
    </row>
    <row r="776" ht="15.75" customHeight="1">
      <c r="M776" s="231"/>
    </row>
    <row r="777" ht="15.75" customHeight="1">
      <c r="M777" s="231"/>
    </row>
    <row r="778" ht="15.75" customHeight="1">
      <c r="M778" s="231"/>
    </row>
    <row r="779" ht="15.75" customHeight="1">
      <c r="M779" s="231"/>
    </row>
    <row r="780" ht="15.75" customHeight="1">
      <c r="M780" s="231"/>
    </row>
    <row r="781" ht="15.75" customHeight="1">
      <c r="M781" s="231"/>
    </row>
    <row r="782" ht="15.75" customHeight="1">
      <c r="M782" s="231"/>
    </row>
    <row r="783" ht="15.75" customHeight="1">
      <c r="M783" s="231"/>
    </row>
    <row r="784" ht="15.75" customHeight="1">
      <c r="M784" s="231"/>
    </row>
    <row r="785" ht="15.75" customHeight="1">
      <c r="M785" s="231"/>
    </row>
    <row r="786" ht="15.75" customHeight="1">
      <c r="M786" s="231"/>
    </row>
    <row r="787" ht="15.75" customHeight="1">
      <c r="M787" s="231"/>
    </row>
    <row r="788" ht="15.75" customHeight="1">
      <c r="M788" s="231"/>
    </row>
    <row r="789" ht="15.75" customHeight="1">
      <c r="M789" s="231"/>
    </row>
    <row r="790" ht="15.75" customHeight="1">
      <c r="M790" s="231"/>
    </row>
    <row r="791" ht="15.75" customHeight="1">
      <c r="M791" s="231"/>
    </row>
    <row r="792" ht="15.75" customHeight="1">
      <c r="M792" s="231"/>
    </row>
    <row r="793" ht="15.75" customHeight="1">
      <c r="M793" s="231"/>
    </row>
    <row r="794" ht="15.75" customHeight="1">
      <c r="M794" s="231"/>
    </row>
    <row r="795" ht="15.75" customHeight="1">
      <c r="M795" s="231"/>
    </row>
    <row r="796" ht="15.75" customHeight="1">
      <c r="M796" s="231"/>
    </row>
    <row r="797" ht="15.75" customHeight="1">
      <c r="M797" s="231"/>
    </row>
    <row r="798" ht="15.75" customHeight="1">
      <c r="M798" s="231"/>
    </row>
    <row r="799" ht="15.75" customHeight="1">
      <c r="M799" s="231"/>
    </row>
    <row r="800" ht="15.75" customHeight="1">
      <c r="M800" s="231"/>
    </row>
    <row r="801" ht="15.75" customHeight="1">
      <c r="M801" s="231"/>
    </row>
    <row r="802" ht="15.75" customHeight="1">
      <c r="M802" s="231"/>
    </row>
    <row r="803" ht="15.75" customHeight="1">
      <c r="M803" s="231"/>
    </row>
    <row r="804" ht="15.75" customHeight="1">
      <c r="M804" s="231"/>
    </row>
    <row r="805" ht="15.75" customHeight="1">
      <c r="M805" s="231"/>
    </row>
    <row r="806" ht="15.75" customHeight="1">
      <c r="M806" s="231"/>
    </row>
    <row r="807" ht="15.75" customHeight="1">
      <c r="M807" s="231"/>
    </row>
    <row r="808" ht="15.75" customHeight="1">
      <c r="M808" s="231"/>
    </row>
    <row r="809" ht="15.75" customHeight="1">
      <c r="M809" s="231"/>
    </row>
    <row r="810" ht="15.75" customHeight="1">
      <c r="M810" s="231"/>
    </row>
    <row r="811" ht="15.75" customHeight="1">
      <c r="M811" s="231"/>
    </row>
    <row r="812" ht="15.75" customHeight="1">
      <c r="M812" s="231"/>
    </row>
    <row r="813" ht="15.75" customHeight="1">
      <c r="M813" s="231"/>
    </row>
    <row r="814" ht="15.75" customHeight="1">
      <c r="M814" s="231"/>
    </row>
    <row r="815" ht="15.75" customHeight="1">
      <c r="M815" s="231"/>
    </row>
    <row r="816" ht="15.75" customHeight="1">
      <c r="M816" s="231"/>
    </row>
    <row r="817" ht="15.75" customHeight="1">
      <c r="M817" s="231"/>
    </row>
    <row r="818" ht="15.75" customHeight="1">
      <c r="M818" s="231"/>
    </row>
    <row r="819" ht="15.75" customHeight="1">
      <c r="M819" s="231"/>
    </row>
    <row r="820" ht="15.75" customHeight="1">
      <c r="M820" s="231"/>
    </row>
    <row r="821" ht="15.75" customHeight="1">
      <c r="M821" s="231"/>
    </row>
    <row r="822" ht="15.75" customHeight="1">
      <c r="M822" s="231"/>
    </row>
    <row r="823" ht="15.75" customHeight="1">
      <c r="M823" s="231"/>
    </row>
    <row r="824" ht="15.75" customHeight="1">
      <c r="M824" s="231"/>
    </row>
    <row r="825" ht="15.75" customHeight="1">
      <c r="M825" s="231"/>
    </row>
    <row r="826" ht="15.75" customHeight="1">
      <c r="M826" s="231"/>
    </row>
    <row r="827" ht="15.75" customHeight="1">
      <c r="M827" s="231"/>
    </row>
    <row r="828" ht="15.75" customHeight="1">
      <c r="M828" s="231"/>
    </row>
    <row r="829" ht="15.75" customHeight="1">
      <c r="M829" s="231"/>
    </row>
    <row r="830" ht="15.75" customHeight="1">
      <c r="M830" s="231"/>
    </row>
    <row r="831" ht="15.75" customHeight="1">
      <c r="M831" s="231"/>
    </row>
    <row r="832" ht="15.75" customHeight="1">
      <c r="M832" s="231"/>
    </row>
    <row r="833" ht="15.75" customHeight="1">
      <c r="M833" s="231"/>
    </row>
    <row r="834" ht="15.75" customHeight="1">
      <c r="M834" s="231"/>
    </row>
    <row r="835" ht="15.75" customHeight="1">
      <c r="M835" s="231"/>
    </row>
    <row r="836" ht="15.75" customHeight="1">
      <c r="M836" s="231"/>
    </row>
    <row r="837" ht="15.75" customHeight="1">
      <c r="M837" s="231"/>
    </row>
    <row r="838" ht="15.75" customHeight="1">
      <c r="M838" s="231"/>
    </row>
    <row r="839" ht="15.75" customHeight="1">
      <c r="M839" s="231"/>
    </row>
    <row r="840" ht="15.75" customHeight="1">
      <c r="M840" s="231"/>
    </row>
    <row r="841" ht="15.75" customHeight="1">
      <c r="M841" s="231"/>
    </row>
    <row r="842" ht="15.75" customHeight="1">
      <c r="M842" s="231"/>
    </row>
    <row r="843" ht="15.75" customHeight="1">
      <c r="M843" s="231"/>
    </row>
    <row r="844" ht="15.75" customHeight="1">
      <c r="M844" s="231"/>
    </row>
    <row r="845" ht="15.75" customHeight="1">
      <c r="M845" s="231"/>
    </row>
    <row r="846" ht="15.75" customHeight="1">
      <c r="M846" s="231"/>
    </row>
    <row r="847" ht="15.75" customHeight="1">
      <c r="M847" s="231"/>
    </row>
    <row r="848" ht="15.75" customHeight="1">
      <c r="M848" s="231"/>
    </row>
    <row r="849" ht="15.75" customHeight="1">
      <c r="M849" s="231"/>
    </row>
    <row r="850" ht="15.75" customHeight="1">
      <c r="M850" s="231"/>
    </row>
    <row r="851" ht="15.75" customHeight="1">
      <c r="M851" s="231"/>
    </row>
    <row r="852" ht="15.75" customHeight="1">
      <c r="M852" s="231"/>
    </row>
    <row r="853" ht="15.75" customHeight="1">
      <c r="M853" s="231"/>
    </row>
    <row r="854" ht="15.75" customHeight="1">
      <c r="M854" s="231"/>
    </row>
    <row r="855" ht="15.75" customHeight="1">
      <c r="M855" s="231"/>
    </row>
    <row r="856" ht="15.75" customHeight="1">
      <c r="M856" s="231"/>
    </row>
    <row r="857" ht="15.75" customHeight="1">
      <c r="M857" s="231"/>
    </row>
    <row r="858" ht="15.75" customHeight="1">
      <c r="M858" s="231"/>
    </row>
    <row r="859" ht="15.75" customHeight="1">
      <c r="M859" s="231"/>
    </row>
    <row r="860" ht="15.75" customHeight="1">
      <c r="M860" s="231"/>
    </row>
    <row r="861" ht="15.75" customHeight="1">
      <c r="M861" s="231"/>
    </row>
    <row r="862" ht="15.75" customHeight="1">
      <c r="M862" s="231"/>
    </row>
    <row r="863" ht="15.75" customHeight="1">
      <c r="M863" s="231"/>
    </row>
    <row r="864" ht="15.75" customHeight="1">
      <c r="M864" s="231"/>
    </row>
    <row r="865" ht="15.75" customHeight="1">
      <c r="M865" s="231"/>
    </row>
    <row r="866" ht="15.75" customHeight="1">
      <c r="M866" s="231"/>
    </row>
    <row r="867" ht="15.75" customHeight="1">
      <c r="M867" s="231"/>
    </row>
    <row r="868" ht="15.75" customHeight="1">
      <c r="M868" s="231"/>
    </row>
    <row r="869" ht="15.75" customHeight="1">
      <c r="M869" s="231"/>
    </row>
    <row r="870" ht="15.75" customHeight="1">
      <c r="M870" s="231"/>
    </row>
    <row r="871" ht="15.75" customHeight="1">
      <c r="M871" s="231"/>
    </row>
    <row r="872" ht="15.75" customHeight="1">
      <c r="M872" s="231"/>
    </row>
    <row r="873" ht="15.75" customHeight="1">
      <c r="M873" s="231"/>
    </row>
    <row r="874" ht="15.75" customHeight="1">
      <c r="M874" s="231"/>
    </row>
    <row r="875" ht="15.75" customHeight="1">
      <c r="M875" s="231"/>
    </row>
    <row r="876" ht="15.75" customHeight="1">
      <c r="M876" s="231"/>
    </row>
    <row r="877" ht="15.75" customHeight="1">
      <c r="M877" s="231"/>
    </row>
    <row r="878" ht="15.75" customHeight="1">
      <c r="M878" s="231"/>
    </row>
    <row r="879" ht="15.75" customHeight="1">
      <c r="M879" s="231"/>
    </row>
    <row r="880" ht="15.75" customHeight="1">
      <c r="M880" s="231"/>
    </row>
    <row r="881" ht="15.75" customHeight="1">
      <c r="M881" s="231"/>
    </row>
    <row r="882" ht="15.75" customHeight="1">
      <c r="M882" s="231"/>
    </row>
    <row r="883" ht="15.75" customHeight="1">
      <c r="M883" s="231"/>
    </row>
    <row r="884" ht="15.75" customHeight="1">
      <c r="M884" s="231"/>
    </row>
    <row r="885" ht="15.75" customHeight="1">
      <c r="M885" s="231"/>
    </row>
    <row r="886" ht="15.75" customHeight="1">
      <c r="M886" s="231"/>
    </row>
    <row r="887" ht="15.75" customHeight="1">
      <c r="M887" s="231"/>
    </row>
    <row r="888" ht="15.75" customHeight="1">
      <c r="M888" s="231"/>
    </row>
    <row r="889" ht="15.75" customHeight="1">
      <c r="M889" s="231"/>
    </row>
    <row r="890" ht="15.75" customHeight="1">
      <c r="M890" s="231"/>
    </row>
    <row r="891" ht="15.75" customHeight="1">
      <c r="M891" s="231"/>
    </row>
    <row r="892" ht="15.75" customHeight="1">
      <c r="M892" s="231"/>
    </row>
    <row r="893" ht="15.75" customHeight="1">
      <c r="M893" s="231"/>
    </row>
    <row r="894" ht="15.75" customHeight="1">
      <c r="M894" s="231"/>
    </row>
    <row r="895" ht="15.75" customHeight="1">
      <c r="M895" s="231"/>
    </row>
    <row r="896" ht="15.75" customHeight="1">
      <c r="M896" s="231"/>
    </row>
    <row r="897" ht="15.75" customHeight="1">
      <c r="M897" s="231"/>
    </row>
    <row r="898" ht="15.75" customHeight="1">
      <c r="M898" s="231"/>
    </row>
    <row r="899" ht="15.75" customHeight="1">
      <c r="M899" s="231"/>
    </row>
    <row r="900" ht="15.75" customHeight="1">
      <c r="M900" s="231"/>
    </row>
    <row r="901" ht="15.75" customHeight="1">
      <c r="M901" s="231"/>
    </row>
    <row r="902" ht="15.75" customHeight="1">
      <c r="M902" s="231"/>
    </row>
    <row r="903" ht="15.75" customHeight="1">
      <c r="M903" s="231"/>
    </row>
    <row r="904" ht="15.75" customHeight="1">
      <c r="M904" s="231"/>
    </row>
    <row r="905" ht="15.75" customHeight="1">
      <c r="M905" s="231"/>
    </row>
    <row r="906" ht="15.75" customHeight="1">
      <c r="M906" s="231"/>
    </row>
    <row r="907" ht="15.75" customHeight="1">
      <c r="M907" s="231"/>
    </row>
    <row r="908" ht="15.75" customHeight="1">
      <c r="M908" s="231"/>
    </row>
    <row r="909" ht="15.75" customHeight="1">
      <c r="M909" s="231"/>
    </row>
    <row r="910" ht="15.75" customHeight="1">
      <c r="M910" s="231"/>
    </row>
    <row r="911" ht="15.75" customHeight="1">
      <c r="M911" s="231"/>
    </row>
    <row r="912" ht="15.75" customHeight="1">
      <c r="M912" s="231"/>
    </row>
    <row r="913" ht="15.75" customHeight="1">
      <c r="M913" s="231"/>
    </row>
    <row r="914" ht="15.75" customHeight="1">
      <c r="M914" s="231"/>
    </row>
    <row r="915" ht="15.75" customHeight="1">
      <c r="M915" s="231"/>
    </row>
    <row r="916" ht="15.75" customHeight="1">
      <c r="M916" s="231"/>
    </row>
    <row r="917" ht="15.75" customHeight="1">
      <c r="M917" s="231"/>
    </row>
    <row r="918" ht="15.75" customHeight="1">
      <c r="M918" s="231"/>
    </row>
    <row r="919" ht="15.75" customHeight="1">
      <c r="M919" s="231"/>
    </row>
    <row r="920" ht="15.75" customHeight="1">
      <c r="M920" s="231"/>
    </row>
    <row r="921" ht="15.75" customHeight="1">
      <c r="M921" s="231"/>
    </row>
    <row r="922" ht="15.75" customHeight="1">
      <c r="M922" s="231"/>
    </row>
    <row r="923" ht="15.75" customHeight="1">
      <c r="M923" s="231"/>
    </row>
    <row r="924" ht="15.75" customHeight="1">
      <c r="M924" s="231"/>
    </row>
    <row r="925" ht="15.75" customHeight="1">
      <c r="M925" s="231"/>
    </row>
    <row r="926" ht="15.75" customHeight="1">
      <c r="M926" s="231"/>
    </row>
    <row r="927" ht="15.75" customHeight="1">
      <c r="M927" s="231"/>
    </row>
    <row r="928" ht="15.75" customHeight="1">
      <c r="M928" s="231"/>
    </row>
    <row r="929" ht="15.75" customHeight="1">
      <c r="M929" s="231"/>
    </row>
    <row r="930" ht="15.75" customHeight="1">
      <c r="M930" s="231"/>
    </row>
    <row r="931" ht="15.75" customHeight="1">
      <c r="M931" s="231"/>
    </row>
    <row r="932" ht="15.75" customHeight="1">
      <c r="M932" s="231"/>
    </row>
    <row r="933" ht="15.75" customHeight="1">
      <c r="M933" s="231"/>
    </row>
    <row r="934" ht="15.75" customHeight="1">
      <c r="M934" s="231"/>
    </row>
    <row r="935" ht="15.75" customHeight="1">
      <c r="M935" s="231"/>
    </row>
    <row r="936" ht="15.75" customHeight="1">
      <c r="M936" s="231"/>
    </row>
    <row r="937" ht="15.75" customHeight="1">
      <c r="M937" s="231"/>
    </row>
    <row r="938" ht="15.75" customHeight="1">
      <c r="M938" s="231"/>
    </row>
    <row r="939" ht="15.75" customHeight="1">
      <c r="M939" s="231"/>
    </row>
    <row r="940" ht="15.75" customHeight="1">
      <c r="M940" s="231"/>
    </row>
    <row r="941" ht="15.75" customHeight="1">
      <c r="M941" s="231"/>
    </row>
    <row r="942" ht="15.75" customHeight="1">
      <c r="M942" s="231"/>
    </row>
    <row r="943" ht="15.75" customHeight="1">
      <c r="M943" s="231"/>
    </row>
    <row r="944" ht="15.75" customHeight="1">
      <c r="M944" s="231"/>
    </row>
    <row r="945" ht="15.75" customHeight="1">
      <c r="M945" s="231"/>
    </row>
    <row r="946" ht="15.75" customHeight="1">
      <c r="M946" s="231"/>
    </row>
    <row r="947" ht="15.75" customHeight="1">
      <c r="M947" s="231"/>
    </row>
    <row r="948" ht="15.75" customHeight="1">
      <c r="M948" s="231"/>
    </row>
    <row r="949" ht="15.75" customHeight="1">
      <c r="M949" s="231"/>
    </row>
    <row r="950" ht="15.75" customHeight="1">
      <c r="M950" s="231"/>
    </row>
    <row r="951" ht="15.75" customHeight="1">
      <c r="M951" s="231"/>
    </row>
    <row r="952" ht="15.75" customHeight="1">
      <c r="M952" s="231"/>
    </row>
    <row r="953" ht="15.75" customHeight="1">
      <c r="M953" s="231"/>
    </row>
    <row r="954" ht="15.75" customHeight="1">
      <c r="M954" s="231"/>
    </row>
    <row r="955" ht="15.75" customHeight="1">
      <c r="M955" s="231"/>
    </row>
    <row r="956" ht="15.75" customHeight="1">
      <c r="M956" s="231"/>
    </row>
    <row r="957" ht="15.75" customHeight="1">
      <c r="M957" s="231"/>
    </row>
    <row r="958" ht="15.75" customHeight="1">
      <c r="M958" s="231"/>
    </row>
    <row r="959" ht="15.75" customHeight="1">
      <c r="M959" s="231"/>
    </row>
    <row r="960" ht="15.75" customHeight="1">
      <c r="M960" s="231"/>
    </row>
    <row r="961" ht="15.75" customHeight="1">
      <c r="M961" s="231"/>
    </row>
    <row r="962" ht="15.75" customHeight="1">
      <c r="M962" s="231"/>
    </row>
    <row r="963" ht="15.75" customHeight="1">
      <c r="M963" s="231"/>
    </row>
    <row r="964" ht="15.75" customHeight="1">
      <c r="M964" s="231"/>
    </row>
    <row r="965" ht="15.75" customHeight="1">
      <c r="M965" s="231"/>
    </row>
    <row r="966" ht="15.75" customHeight="1">
      <c r="M966" s="231"/>
    </row>
    <row r="967" ht="15.75" customHeight="1">
      <c r="M967" s="231"/>
    </row>
    <row r="968" ht="15.75" customHeight="1">
      <c r="M968" s="231"/>
    </row>
    <row r="969" ht="15.75" customHeight="1">
      <c r="M969" s="231"/>
    </row>
    <row r="970" ht="15.75" customHeight="1">
      <c r="M970" s="231"/>
    </row>
    <row r="971" ht="15.75" customHeight="1">
      <c r="M971" s="231"/>
    </row>
    <row r="972" ht="15.75" customHeight="1">
      <c r="M972" s="231"/>
    </row>
    <row r="973" ht="15.75" customHeight="1">
      <c r="M973" s="231"/>
    </row>
    <row r="974" ht="15.75" customHeight="1">
      <c r="M974" s="231"/>
    </row>
    <row r="975" ht="15.75" customHeight="1">
      <c r="M975" s="231"/>
    </row>
    <row r="976" ht="15.75" customHeight="1">
      <c r="M976" s="231"/>
    </row>
    <row r="977" ht="15.75" customHeight="1">
      <c r="M977" s="231"/>
    </row>
    <row r="978" ht="15.75" customHeight="1">
      <c r="M978" s="231"/>
    </row>
    <row r="979" ht="15.75" customHeight="1">
      <c r="M979" s="231"/>
    </row>
    <row r="980" ht="15.75" customHeight="1">
      <c r="M980" s="231"/>
    </row>
    <row r="981" ht="15.75" customHeight="1">
      <c r="M981" s="231"/>
    </row>
    <row r="982" ht="15.75" customHeight="1">
      <c r="M982" s="231"/>
    </row>
    <row r="983" ht="15.75" customHeight="1">
      <c r="M983" s="231"/>
    </row>
    <row r="984" ht="15.75" customHeight="1">
      <c r="M984" s="231"/>
    </row>
    <row r="985" ht="15.75" customHeight="1">
      <c r="M985" s="231"/>
    </row>
    <row r="986" ht="15.75" customHeight="1">
      <c r="M986" s="231"/>
    </row>
    <row r="987" ht="15.75" customHeight="1">
      <c r="M987" s="231"/>
    </row>
    <row r="988" ht="15.75" customHeight="1">
      <c r="M988" s="231"/>
    </row>
    <row r="989" ht="15.75" customHeight="1">
      <c r="M989" s="231"/>
    </row>
    <row r="990" ht="15.75" customHeight="1">
      <c r="M990" s="231"/>
    </row>
    <row r="991" ht="15.75" customHeight="1">
      <c r="M991" s="231"/>
    </row>
    <row r="992" ht="15.75" customHeight="1">
      <c r="M992" s="231"/>
    </row>
    <row r="993" ht="15.75" customHeight="1">
      <c r="M993" s="231"/>
    </row>
    <row r="994" ht="15.75" customHeight="1">
      <c r="M994" s="231"/>
    </row>
    <row r="995" ht="15.75" customHeight="1">
      <c r="M995" s="231"/>
    </row>
    <row r="996" ht="15.75" customHeight="1">
      <c r="M996" s="231"/>
    </row>
    <row r="997" ht="15.75" customHeight="1">
      <c r="M997" s="231"/>
    </row>
    <row r="998" ht="15.75" customHeight="1">
      <c r="M998" s="231"/>
    </row>
    <row r="999" ht="15.75" customHeight="1">
      <c r="M999" s="231"/>
    </row>
    <row r="1000" ht="15.75" customHeight="1">
      <c r="M1000" s="231"/>
    </row>
    <row r="1001" ht="15.75" customHeight="1">
      <c r="M1001" s="231"/>
    </row>
    <row r="1002" ht="15.75" customHeight="1">
      <c r="M1002" s="231"/>
    </row>
    <row r="1003" ht="15.75" customHeight="1">
      <c r="M1003" s="231"/>
    </row>
    <row r="1004" ht="15.75" customHeight="1">
      <c r="M1004" s="231"/>
    </row>
    <row r="1005" ht="15.75" customHeight="1">
      <c r="M1005" s="231"/>
    </row>
    <row r="1006" ht="15.75" customHeight="1">
      <c r="M1006" s="231"/>
    </row>
    <row r="1007" ht="15.75" customHeight="1">
      <c r="M1007" s="231"/>
    </row>
    <row r="1008" ht="15.75" customHeight="1">
      <c r="M1008" s="231"/>
    </row>
    <row r="1009" ht="15.75" customHeight="1">
      <c r="M1009" s="231"/>
    </row>
    <row r="1010" ht="15.75" customHeight="1">
      <c r="M1010" s="231"/>
    </row>
    <row r="1011" ht="15.75" customHeight="1">
      <c r="M1011" s="231"/>
    </row>
    <row r="1012" ht="15.75" customHeight="1">
      <c r="M1012" s="231"/>
    </row>
    <row r="1013" ht="15.75" customHeight="1">
      <c r="M1013" s="231"/>
    </row>
    <row r="1014" ht="15.75" customHeight="1">
      <c r="M1014" s="231"/>
    </row>
    <row r="1015" ht="15.75" customHeight="1">
      <c r="M1015" s="231"/>
    </row>
    <row r="1016" ht="15.75" customHeight="1">
      <c r="M1016" s="231"/>
    </row>
    <row r="1017" ht="15.75" customHeight="1">
      <c r="M1017" s="231"/>
    </row>
    <row r="1018" ht="15.75" customHeight="1">
      <c r="M1018" s="231"/>
    </row>
    <row r="1019" ht="15.75" customHeight="1">
      <c r="M1019" s="231"/>
    </row>
    <row r="1020" ht="15.75" customHeight="1">
      <c r="M1020" s="231"/>
    </row>
    <row r="1021" ht="15.75" customHeight="1">
      <c r="M1021" s="231"/>
    </row>
    <row r="1022" ht="15.75" customHeight="1">
      <c r="M1022" s="231"/>
    </row>
    <row r="1023" ht="15.75" customHeight="1">
      <c r="M1023" s="231"/>
    </row>
    <row r="1024" ht="15.75" customHeight="1">
      <c r="M1024" s="231"/>
    </row>
    <row r="1025" ht="15.75" customHeight="1">
      <c r="M1025" s="231"/>
    </row>
    <row r="1026" ht="15.75" customHeight="1">
      <c r="M1026" s="231"/>
    </row>
    <row r="1027" ht="15.75" customHeight="1">
      <c r="M1027" s="231"/>
    </row>
    <row r="1028" ht="15.75" customHeight="1">
      <c r="M1028" s="231"/>
    </row>
    <row r="1029" ht="15.75" customHeight="1">
      <c r="M1029" s="231"/>
    </row>
    <row r="1030" ht="15.75" customHeight="1">
      <c r="M1030" s="231"/>
    </row>
    <row r="1031" ht="15.75" customHeight="1">
      <c r="M1031" s="231"/>
    </row>
    <row r="1032" ht="15.75" customHeight="1">
      <c r="M1032" s="231"/>
    </row>
    <row r="1033" ht="15.75" customHeight="1">
      <c r="M1033" s="231"/>
    </row>
    <row r="1034" ht="15.75" customHeight="1">
      <c r="M1034" s="231"/>
    </row>
    <row r="1035" ht="15.75" customHeight="1">
      <c r="M1035" s="231"/>
    </row>
    <row r="1036" ht="15.75" customHeight="1">
      <c r="M1036" s="231"/>
    </row>
    <row r="1037" ht="15.75" customHeight="1">
      <c r="M1037" s="231"/>
    </row>
    <row r="1038" ht="15.75" customHeight="1">
      <c r="M1038" s="231"/>
    </row>
    <row r="1039" ht="15.75" customHeight="1">
      <c r="M1039" s="231"/>
    </row>
    <row r="1040" ht="15.75" customHeight="1">
      <c r="M1040" s="231"/>
    </row>
    <row r="1041" ht="15.75" customHeight="1">
      <c r="M1041" s="231"/>
    </row>
    <row r="1042" ht="15.75" customHeight="1">
      <c r="M1042" s="231"/>
    </row>
    <row r="1043" ht="15.75" customHeight="1">
      <c r="M1043" s="231"/>
    </row>
    <row r="1044" ht="15.75" customHeight="1">
      <c r="M1044" s="231"/>
    </row>
    <row r="1045" ht="15.75" customHeight="1">
      <c r="M1045" s="231"/>
    </row>
    <row r="1046" ht="15.75" customHeight="1">
      <c r="M1046" s="231"/>
    </row>
    <row r="1047" ht="15.75" customHeight="1">
      <c r="M1047" s="231"/>
    </row>
    <row r="1048" ht="15.75" customHeight="1">
      <c r="M1048" s="231"/>
    </row>
    <row r="1049" ht="15.75" customHeight="1">
      <c r="M1049" s="231"/>
    </row>
    <row r="1050" ht="15.75" customHeight="1">
      <c r="M1050" s="231"/>
    </row>
    <row r="1051" ht="15.75" customHeight="1">
      <c r="M1051" s="231"/>
    </row>
    <row r="1052" ht="15.75" customHeight="1">
      <c r="M1052" s="231"/>
    </row>
    <row r="1053" ht="15.75" customHeight="1">
      <c r="M1053" s="231"/>
    </row>
    <row r="1054" ht="15.75" customHeight="1">
      <c r="M1054" s="231"/>
    </row>
    <row r="1055" ht="15.75" customHeight="1">
      <c r="M1055" s="231"/>
    </row>
    <row r="1056" ht="15.75" customHeight="1">
      <c r="M1056" s="231"/>
    </row>
    <row r="1057" ht="15.75" customHeight="1">
      <c r="M1057" s="231"/>
    </row>
    <row r="1058" ht="15.75" customHeight="1">
      <c r="M1058" s="231"/>
    </row>
    <row r="1059" ht="15.75" customHeight="1">
      <c r="M1059" s="231"/>
    </row>
    <row r="1060" ht="15.75" customHeight="1">
      <c r="M1060" s="231"/>
    </row>
    <row r="1061" ht="15.75" customHeight="1">
      <c r="M1061" s="231"/>
    </row>
    <row r="1062" ht="15.75" customHeight="1">
      <c r="M1062" s="231"/>
    </row>
    <row r="1063" ht="15.75" customHeight="1">
      <c r="M1063" s="231"/>
    </row>
    <row r="1064" ht="15.75" customHeight="1">
      <c r="M1064" s="231"/>
    </row>
    <row r="1065" ht="15.75" customHeight="1">
      <c r="M1065" s="231"/>
    </row>
    <row r="1066" ht="15.75" customHeight="1">
      <c r="M1066" s="231"/>
    </row>
    <row r="1067" ht="15.75" customHeight="1">
      <c r="M1067" s="231"/>
    </row>
    <row r="1068" ht="15.75" customHeight="1">
      <c r="M1068" s="231"/>
    </row>
    <row r="1069" ht="15.75" customHeight="1">
      <c r="M1069" s="231"/>
    </row>
    <row r="1070" ht="15.75" customHeight="1">
      <c r="M1070" s="231"/>
    </row>
    <row r="1071" ht="15.75" customHeight="1">
      <c r="M1071" s="231"/>
    </row>
    <row r="1072" ht="15.75" customHeight="1">
      <c r="M1072" s="231"/>
    </row>
    <row r="1073" ht="15.75" customHeight="1">
      <c r="M1073" s="231"/>
    </row>
    <row r="1074" ht="15.75" customHeight="1">
      <c r="M1074" s="231"/>
    </row>
    <row r="1075" ht="15.75" customHeight="1">
      <c r="M1075" s="231"/>
    </row>
    <row r="1076" ht="15.75" customHeight="1">
      <c r="M1076" s="231"/>
    </row>
    <row r="1077" ht="15.75" customHeight="1">
      <c r="M1077" s="231"/>
    </row>
    <row r="1078" ht="15.75" customHeight="1">
      <c r="M1078" s="231"/>
    </row>
    <row r="1079" ht="15.75" customHeight="1">
      <c r="M1079" s="231"/>
    </row>
    <row r="1080" ht="15.75" customHeight="1">
      <c r="M1080" s="231"/>
    </row>
    <row r="1081" ht="15.75" customHeight="1">
      <c r="M1081" s="231"/>
    </row>
    <row r="1082" ht="15.75" customHeight="1">
      <c r="M1082" s="231"/>
    </row>
    <row r="1083" ht="15.75" customHeight="1">
      <c r="M1083" s="231"/>
    </row>
    <row r="1084" ht="15.75" customHeight="1">
      <c r="M1084" s="231"/>
    </row>
    <row r="1085" ht="15.75" customHeight="1">
      <c r="M1085" s="231"/>
    </row>
    <row r="1086" ht="15.75" customHeight="1">
      <c r="M1086" s="231"/>
    </row>
    <row r="1087" ht="15.75" customHeight="1">
      <c r="M1087" s="231"/>
    </row>
    <row r="1088" ht="15.75" customHeight="1">
      <c r="M1088" s="231"/>
    </row>
    <row r="1089" ht="15.75" customHeight="1">
      <c r="M1089" s="231"/>
    </row>
    <row r="1090" ht="15.75" customHeight="1">
      <c r="M1090" s="231"/>
    </row>
    <row r="1091" ht="15.75" customHeight="1">
      <c r="M1091" s="231"/>
    </row>
    <row r="1092" ht="15.75" customHeight="1">
      <c r="M1092" s="231"/>
    </row>
    <row r="1093" ht="15.75" customHeight="1">
      <c r="M1093" s="231"/>
    </row>
    <row r="1094" ht="15.75" customHeight="1">
      <c r="M1094" s="231"/>
    </row>
    <row r="1095" ht="15.75" customHeight="1">
      <c r="M1095" s="231"/>
    </row>
    <row r="1096" ht="15.75" customHeight="1">
      <c r="M1096" s="231"/>
    </row>
    <row r="1097" ht="15.75" customHeight="1">
      <c r="M1097" s="231"/>
    </row>
    <row r="1098" ht="15.75" customHeight="1">
      <c r="M1098" s="231"/>
    </row>
    <row r="1099" ht="15.75" customHeight="1">
      <c r="M1099" s="231"/>
    </row>
    <row r="1100" ht="15.75" customHeight="1">
      <c r="M1100" s="231"/>
    </row>
    <row r="1101" ht="15.75" customHeight="1">
      <c r="M1101" s="231"/>
    </row>
    <row r="1102" ht="15.75" customHeight="1">
      <c r="M1102" s="231"/>
    </row>
    <row r="1103" ht="15.75" customHeight="1">
      <c r="M1103" s="231"/>
    </row>
    <row r="1104" ht="15.75" customHeight="1">
      <c r="M1104" s="231"/>
    </row>
    <row r="1105" ht="15.75" customHeight="1">
      <c r="M1105" s="231"/>
    </row>
    <row r="1106" ht="15.75" customHeight="1">
      <c r="M1106" s="231"/>
    </row>
    <row r="1107" ht="15.75" customHeight="1">
      <c r="M1107" s="231"/>
    </row>
    <row r="1108" ht="15.75" customHeight="1">
      <c r="M1108" s="231"/>
    </row>
    <row r="1109" ht="15.75" customHeight="1">
      <c r="M1109" s="231"/>
    </row>
    <row r="1110" ht="15.75" customHeight="1">
      <c r="M1110" s="231"/>
    </row>
    <row r="1111" ht="15.75" customHeight="1">
      <c r="M1111" s="231"/>
    </row>
    <row r="1112" ht="15.75" customHeight="1">
      <c r="M1112" s="231"/>
    </row>
    <row r="1113" ht="15.75" customHeight="1">
      <c r="M1113" s="231"/>
    </row>
    <row r="1114" ht="15.75" customHeight="1">
      <c r="M1114" s="231"/>
    </row>
    <row r="1115" ht="15.75" customHeight="1">
      <c r="M1115" s="231"/>
    </row>
    <row r="1116" ht="15.75" customHeight="1">
      <c r="M1116" s="231"/>
    </row>
    <row r="1117" ht="15.75" customHeight="1">
      <c r="M1117" s="231"/>
    </row>
    <row r="1118" ht="15.75" customHeight="1">
      <c r="M1118" s="231"/>
    </row>
    <row r="1119" ht="15.75" customHeight="1">
      <c r="M1119" s="231"/>
    </row>
    <row r="1120" ht="15.75" customHeight="1">
      <c r="M1120" s="231"/>
    </row>
    <row r="1121" ht="15.75" customHeight="1">
      <c r="M1121" s="231"/>
    </row>
    <row r="1122" ht="15.75" customHeight="1">
      <c r="M1122" s="231"/>
    </row>
    <row r="1123" ht="15.75" customHeight="1">
      <c r="M1123" s="231"/>
    </row>
    <row r="1124" ht="15.75" customHeight="1">
      <c r="M1124" s="231"/>
    </row>
    <row r="1125" ht="15.75" customHeight="1">
      <c r="M1125" s="231"/>
    </row>
    <row r="1126" ht="15.75" customHeight="1">
      <c r="M1126" s="231"/>
    </row>
    <row r="1127" ht="15.75" customHeight="1">
      <c r="M1127" s="231"/>
    </row>
    <row r="1128" ht="15.75" customHeight="1">
      <c r="M1128" s="231"/>
    </row>
    <row r="1129" ht="15.75" customHeight="1">
      <c r="M1129" s="231"/>
    </row>
    <row r="1130" ht="15.75" customHeight="1">
      <c r="M1130" s="231"/>
    </row>
    <row r="1131" ht="15.75" customHeight="1">
      <c r="M1131" s="231"/>
    </row>
    <row r="1132" ht="15.75" customHeight="1">
      <c r="M1132" s="231"/>
    </row>
    <row r="1133" ht="15.75" customHeight="1">
      <c r="M1133" s="231"/>
    </row>
    <row r="1134" ht="15.75" customHeight="1">
      <c r="M1134" s="231"/>
    </row>
    <row r="1135" ht="15.75" customHeight="1">
      <c r="M1135" s="231"/>
    </row>
    <row r="1136" ht="15.75" customHeight="1">
      <c r="M1136" s="231"/>
    </row>
    <row r="1137" ht="15.75" customHeight="1">
      <c r="M1137" s="231"/>
    </row>
    <row r="1138" ht="15.75" customHeight="1">
      <c r="M1138" s="231"/>
    </row>
    <row r="1139" ht="15.75" customHeight="1">
      <c r="M1139" s="231"/>
    </row>
  </sheetData>
  <mergeCells count="52"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AC1:AC2"/>
    <mergeCell ref="AD1:AD2"/>
    <mergeCell ref="AE1:AE2"/>
    <mergeCell ref="AF1:AF2"/>
    <mergeCell ref="AG1:AG2"/>
    <mergeCell ref="V1:V2"/>
    <mergeCell ref="W1:W2"/>
    <mergeCell ref="X1:X2"/>
    <mergeCell ref="Y1:Y2"/>
    <mergeCell ref="Z1:Z2"/>
    <mergeCell ref="AA1:AA2"/>
    <mergeCell ref="AB1:AB2"/>
    <mergeCell ref="A1:A2"/>
    <mergeCell ref="B1:B2"/>
    <mergeCell ref="C1:C2"/>
    <mergeCell ref="D1:D2"/>
    <mergeCell ref="E1:E2"/>
    <mergeCell ref="F1:F2"/>
    <mergeCell ref="G1:G2"/>
    <mergeCell ref="B132:E132"/>
    <mergeCell ref="B145:E145"/>
    <mergeCell ref="B149:E149"/>
    <mergeCell ref="B165:D165"/>
    <mergeCell ref="B174:D174"/>
    <mergeCell ref="B186:D186"/>
    <mergeCell ref="B195:D195"/>
    <mergeCell ref="B318:D318"/>
    <mergeCell ref="B326:D326"/>
    <mergeCell ref="B340:D340"/>
    <mergeCell ref="B356:D356"/>
    <mergeCell ref="B372:D372"/>
    <mergeCell ref="B207:D207"/>
    <mergeCell ref="B223:D223"/>
    <mergeCell ref="B239:D239"/>
    <mergeCell ref="B255:D255"/>
    <mergeCell ref="B271:D271"/>
    <mergeCell ref="B287:D287"/>
    <mergeCell ref="B303:D30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2.38"/>
    <col customWidth="1" min="3" max="3" width="95.13"/>
    <col customWidth="1" min="4" max="4" width="21.25"/>
    <col customWidth="1" min="5" max="5" width="16.25"/>
    <col customWidth="1" min="6" max="6" width="19.88"/>
    <col customWidth="1" min="7" max="7" width="35.38"/>
    <col customWidth="1" min="8" max="8" width="121.5"/>
    <col customWidth="1" min="10" max="10" width="15.88"/>
    <col customWidth="1" min="11" max="11" width="18.38"/>
  </cols>
  <sheetData>
    <row r="1">
      <c r="A1" s="192" t="s">
        <v>0</v>
      </c>
      <c r="B1" s="192" t="s">
        <v>413</v>
      </c>
      <c r="C1" s="192" t="s">
        <v>414</v>
      </c>
      <c r="D1" s="193"/>
      <c r="E1" s="193" t="s">
        <v>415</v>
      </c>
      <c r="F1" s="192" t="s">
        <v>416</v>
      </c>
      <c r="G1" s="194" t="s">
        <v>417</v>
      </c>
      <c r="H1" s="194" t="s">
        <v>418</v>
      </c>
    </row>
    <row r="2">
      <c r="A2" s="71"/>
      <c r="B2" s="195">
        <v>45806.0</v>
      </c>
      <c r="C2" s="196" t="s">
        <v>419</v>
      </c>
      <c r="D2" s="197"/>
      <c r="E2" s="198">
        <v>1000000.0</v>
      </c>
      <c r="F2" s="199"/>
      <c r="G2" s="200" t="s">
        <v>422</v>
      </c>
      <c r="H2" s="92"/>
      <c r="I2" s="201"/>
    </row>
    <row r="3">
      <c r="A3" s="71"/>
      <c r="B3" s="71" t="s">
        <v>423</v>
      </c>
      <c r="C3" s="202" t="s">
        <v>424</v>
      </c>
      <c r="D3" s="197"/>
      <c r="E3" s="198">
        <v>2.0E7</v>
      </c>
      <c r="F3" s="203">
        <v>2500.0</v>
      </c>
      <c r="G3" s="204"/>
      <c r="H3" s="92"/>
      <c r="I3" s="201"/>
    </row>
    <row r="4">
      <c r="A4" s="71"/>
      <c r="B4" s="195">
        <v>45808.0</v>
      </c>
      <c r="C4" s="71" t="s">
        <v>425</v>
      </c>
      <c r="D4" s="197" t="s">
        <v>426</v>
      </c>
      <c r="E4" s="198">
        <v>3050000.0</v>
      </c>
      <c r="F4" s="199"/>
      <c r="G4" s="200" t="s">
        <v>429</v>
      </c>
      <c r="H4" s="92"/>
      <c r="I4" s="201"/>
    </row>
    <row r="5">
      <c r="A5" s="71"/>
      <c r="B5" s="195">
        <v>45813.0</v>
      </c>
      <c r="C5" s="205" t="s">
        <v>430</v>
      </c>
      <c r="D5" s="197" t="s">
        <v>432</v>
      </c>
      <c r="E5" s="198">
        <v>850000.0</v>
      </c>
      <c r="F5" s="203">
        <v>2500.0</v>
      </c>
      <c r="G5" s="204"/>
      <c r="H5" s="92"/>
    </row>
    <row r="6">
      <c r="A6" s="71"/>
      <c r="B6" s="195">
        <v>45813.0</v>
      </c>
      <c r="C6" s="196" t="s">
        <v>435</v>
      </c>
      <c r="D6" s="197"/>
      <c r="E6" s="198">
        <v>500000.0</v>
      </c>
      <c r="F6" s="203"/>
      <c r="G6" s="200" t="s">
        <v>436</v>
      </c>
      <c r="H6" s="92"/>
    </row>
    <row r="7">
      <c r="A7" s="71"/>
      <c r="B7" s="195"/>
      <c r="C7" s="196" t="s">
        <v>439</v>
      </c>
      <c r="D7" s="197"/>
      <c r="E7" s="198">
        <v>300000.0</v>
      </c>
      <c r="F7" s="199"/>
      <c r="G7" s="200" t="s">
        <v>436</v>
      </c>
      <c r="H7" s="92"/>
    </row>
    <row r="8">
      <c r="A8" s="71"/>
      <c r="B8" s="195"/>
      <c r="C8" s="196" t="s">
        <v>441</v>
      </c>
      <c r="D8" s="197"/>
      <c r="E8" s="198">
        <v>350000.0</v>
      </c>
      <c r="F8" s="199"/>
      <c r="G8" s="200"/>
      <c r="H8" s="92"/>
    </row>
    <row r="9">
      <c r="A9" s="71"/>
      <c r="B9" s="195">
        <v>45813.0</v>
      </c>
      <c r="C9" s="202" t="s">
        <v>442</v>
      </c>
      <c r="D9" s="197"/>
      <c r="E9" s="198">
        <v>2.0E8</v>
      </c>
      <c r="F9" s="203">
        <v>30000.0</v>
      </c>
      <c r="G9" s="200" t="s">
        <v>443</v>
      </c>
      <c r="H9" s="92"/>
    </row>
    <row r="10">
      <c r="A10" s="206"/>
      <c r="B10" s="195">
        <v>45813.0</v>
      </c>
      <c r="C10" s="202" t="s">
        <v>446</v>
      </c>
      <c r="D10" s="197"/>
      <c r="E10" s="198">
        <v>2.0E8</v>
      </c>
      <c r="F10" s="203">
        <v>2500.0</v>
      </c>
      <c r="G10" s="204"/>
      <c r="H10" s="92"/>
    </row>
    <row r="11">
      <c r="A11" s="206"/>
      <c r="B11" s="195">
        <v>45813.0</v>
      </c>
      <c r="C11" s="71" t="s">
        <v>448</v>
      </c>
      <c r="D11" s="197" t="s">
        <v>449</v>
      </c>
      <c r="E11" s="198">
        <v>1760000.0</v>
      </c>
      <c r="F11" s="203"/>
      <c r="G11" s="200" t="s">
        <v>436</v>
      </c>
      <c r="H11" s="92"/>
    </row>
    <row r="12">
      <c r="A12" s="206"/>
      <c r="B12" s="195">
        <v>45813.0</v>
      </c>
      <c r="C12" s="202" t="s">
        <v>451</v>
      </c>
      <c r="D12" s="197"/>
      <c r="E12" s="198">
        <v>5000000.0</v>
      </c>
      <c r="F12" s="203">
        <v>2500.0</v>
      </c>
      <c r="G12" s="200"/>
      <c r="H12" s="92"/>
      <c r="J12" s="92"/>
      <c r="K12" s="92"/>
      <c r="L12" s="92"/>
      <c r="M12" s="92"/>
      <c r="N12" s="92"/>
      <c r="O12" s="92"/>
      <c r="P12" s="92"/>
    </row>
    <row r="13">
      <c r="A13" s="206"/>
      <c r="B13" s="195"/>
      <c r="C13" s="71"/>
      <c r="D13" s="197"/>
      <c r="E13" s="198"/>
      <c r="F13" s="203"/>
      <c r="G13" s="200"/>
      <c r="H13" s="208"/>
      <c r="J13" s="92"/>
      <c r="K13" s="71" t="s">
        <v>458</v>
      </c>
      <c r="L13" s="197"/>
      <c r="M13" s="203">
        <v>228752.0</v>
      </c>
      <c r="N13" s="199"/>
      <c r="O13" s="200" t="s">
        <v>459</v>
      </c>
      <c r="P13" s="92"/>
    </row>
    <row r="14">
      <c r="A14" s="206"/>
      <c r="B14" s="195"/>
      <c r="C14" s="71"/>
      <c r="D14" s="197"/>
      <c r="E14" s="198"/>
      <c r="F14" s="203"/>
      <c r="G14" s="200"/>
      <c r="H14" s="92"/>
      <c r="J14" s="195">
        <v>45809.0</v>
      </c>
      <c r="K14" s="71" t="s">
        <v>462</v>
      </c>
      <c r="L14" s="197"/>
      <c r="M14" s="203">
        <v>800000.0</v>
      </c>
      <c r="N14" s="199"/>
      <c r="O14" s="200" t="s">
        <v>155</v>
      </c>
      <c r="P14" s="92"/>
    </row>
    <row r="15">
      <c r="A15" s="206"/>
      <c r="B15" s="195"/>
      <c r="C15" s="71"/>
      <c r="D15" s="197"/>
      <c r="E15" s="198"/>
      <c r="F15" s="203"/>
      <c r="G15" s="200"/>
      <c r="H15" s="92"/>
      <c r="J15" s="195">
        <v>45810.0</v>
      </c>
      <c r="K15" s="71" t="s">
        <v>458</v>
      </c>
      <c r="L15" s="197"/>
      <c r="M15" s="203">
        <v>301784.0</v>
      </c>
      <c r="N15" s="199"/>
      <c r="O15" s="200" t="s">
        <v>155</v>
      </c>
      <c r="P15" s="92"/>
    </row>
    <row r="16">
      <c r="A16" s="206"/>
      <c r="B16" s="195">
        <v>45814.0</v>
      </c>
      <c r="C16" s="211" t="s">
        <v>465</v>
      </c>
      <c r="D16" s="197" t="s">
        <v>469</v>
      </c>
      <c r="E16" s="198">
        <v>9042960.0</v>
      </c>
      <c r="F16" s="203"/>
      <c r="G16" s="200" t="s">
        <v>470</v>
      </c>
      <c r="H16" s="212" t="s">
        <v>471</v>
      </c>
      <c r="J16" s="195">
        <v>45812.0</v>
      </c>
      <c r="K16" s="71" t="s">
        <v>458</v>
      </c>
      <c r="L16" s="197"/>
      <c r="M16" s="203">
        <v>593700.0</v>
      </c>
      <c r="N16" s="199"/>
      <c r="O16" s="200" t="s">
        <v>474</v>
      </c>
      <c r="P16" s="92"/>
    </row>
    <row r="17">
      <c r="A17" s="206"/>
      <c r="B17" s="195"/>
      <c r="C17" s="211" t="s">
        <v>475</v>
      </c>
      <c r="D17" s="197" t="s">
        <v>476</v>
      </c>
      <c r="E17" s="198">
        <v>4253480.0</v>
      </c>
      <c r="F17" s="203"/>
      <c r="G17" s="200" t="s">
        <v>470</v>
      </c>
      <c r="H17" s="92"/>
      <c r="M17" s="213">
        <f>SUM(M13:M16)</f>
        <v>1924236</v>
      </c>
    </row>
    <row r="18">
      <c r="A18" s="206"/>
      <c r="B18" s="195"/>
      <c r="C18" s="211" t="s">
        <v>479</v>
      </c>
      <c r="D18" s="197" t="s">
        <v>476</v>
      </c>
      <c r="E18" s="198">
        <v>437920.0</v>
      </c>
      <c r="F18" s="203"/>
      <c r="G18" s="200" t="s">
        <v>470</v>
      </c>
      <c r="H18" s="208" t="s">
        <v>480</v>
      </c>
    </row>
    <row r="19">
      <c r="A19" s="206"/>
      <c r="B19" s="195">
        <v>45814.0</v>
      </c>
      <c r="C19" s="211" t="s">
        <v>481</v>
      </c>
      <c r="D19" s="197" t="s">
        <v>482</v>
      </c>
      <c r="E19" s="198">
        <v>1000000.0</v>
      </c>
      <c r="F19" s="203"/>
      <c r="G19" s="200" t="s">
        <v>483</v>
      </c>
      <c r="H19" s="212"/>
    </row>
    <row r="20">
      <c r="A20" s="206"/>
      <c r="B20" s="195"/>
      <c r="C20" s="71" t="s">
        <v>488</v>
      </c>
      <c r="D20" s="197" t="s">
        <v>489</v>
      </c>
      <c r="E20" s="198">
        <v>400000.0</v>
      </c>
      <c r="F20" s="203"/>
      <c r="G20" s="200"/>
      <c r="H20" s="92"/>
    </row>
    <row r="21">
      <c r="A21" s="206"/>
      <c r="B21" s="195"/>
      <c r="C21" s="71" t="s">
        <v>490</v>
      </c>
      <c r="D21" s="197" t="s">
        <v>476</v>
      </c>
      <c r="E21" s="198">
        <v>100000.0</v>
      </c>
      <c r="F21" s="203"/>
      <c r="G21" s="200"/>
      <c r="H21" s="92"/>
    </row>
    <row r="22">
      <c r="A22" s="206"/>
      <c r="B22" s="195"/>
      <c r="C22" s="71" t="s">
        <v>491</v>
      </c>
      <c r="D22" s="197"/>
      <c r="E22" s="198">
        <v>150000.0</v>
      </c>
      <c r="F22" s="203"/>
      <c r="G22" s="200"/>
      <c r="H22" s="92"/>
    </row>
    <row r="23">
      <c r="A23" s="206"/>
      <c r="B23" s="195"/>
      <c r="C23" s="71"/>
      <c r="D23" s="197"/>
      <c r="E23" s="198"/>
      <c r="F23" s="203"/>
      <c r="G23" s="200"/>
      <c r="H23" s="92"/>
    </row>
    <row r="24">
      <c r="A24" s="206"/>
      <c r="B24" s="195"/>
      <c r="C24" s="71"/>
      <c r="D24" s="197"/>
      <c r="E24" s="198"/>
      <c r="F24" s="203"/>
      <c r="G24" s="200"/>
      <c r="H24" s="92"/>
    </row>
    <row r="25">
      <c r="A25" s="206"/>
      <c r="B25" s="195"/>
      <c r="C25" s="71"/>
      <c r="D25" s="197"/>
      <c r="E25" s="198"/>
      <c r="F25" s="203"/>
      <c r="G25" s="200"/>
      <c r="H25" s="92"/>
    </row>
    <row r="26">
      <c r="A26" s="206"/>
      <c r="B26" s="195"/>
      <c r="C26" s="71"/>
      <c r="D26" s="197"/>
      <c r="E26" s="198"/>
      <c r="F26" s="203"/>
      <c r="G26" s="200"/>
      <c r="H26" s="92"/>
    </row>
    <row r="27">
      <c r="A27" s="206"/>
      <c r="B27" s="195"/>
      <c r="C27" s="71"/>
      <c r="D27" s="197"/>
      <c r="E27" s="198"/>
      <c r="F27" s="203"/>
      <c r="G27" s="200"/>
      <c r="H27" s="92"/>
    </row>
    <row r="28">
      <c r="A28" s="206"/>
      <c r="B28" s="195"/>
      <c r="C28" s="71"/>
      <c r="D28" s="197"/>
      <c r="E28" s="198"/>
      <c r="F28" s="203"/>
      <c r="G28" s="200"/>
      <c r="H28" s="92"/>
    </row>
    <row r="29">
      <c r="A29" s="206"/>
      <c r="B29" s="195">
        <v>45815.0</v>
      </c>
      <c r="C29" s="216" t="s">
        <v>500</v>
      </c>
      <c r="D29" s="197"/>
      <c r="E29" s="198">
        <v>100000.0</v>
      </c>
      <c r="F29" s="203"/>
      <c r="G29" s="200" t="s">
        <v>422</v>
      </c>
      <c r="H29" s="92"/>
    </row>
    <row r="30">
      <c r="A30" s="206"/>
      <c r="B30" s="195">
        <v>45815.0</v>
      </c>
      <c r="C30" s="196" t="s">
        <v>501</v>
      </c>
      <c r="D30" s="197"/>
      <c r="E30" s="198">
        <v>1.089E7</v>
      </c>
      <c r="F30" s="203"/>
      <c r="G30" s="200" t="s">
        <v>422</v>
      </c>
      <c r="H30" s="92"/>
    </row>
    <row r="31">
      <c r="A31" s="206"/>
      <c r="B31" s="195">
        <v>45816.0</v>
      </c>
      <c r="C31" s="217" t="s">
        <v>507</v>
      </c>
      <c r="D31" s="197"/>
      <c r="E31" s="198">
        <v>500000.0</v>
      </c>
      <c r="F31" s="203"/>
      <c r="G31" s="200" t="s">
        <v>422</v>
      </c>
      <c r="H31" s="92"/>
    </row>
    <row r="32">
      <c r="A32" s="206"/>
      <c r="B32" s="195">
        <v>45816.0</v>
      </c>
      <c r="C32" s="71" t="s">
        <v>508</v>
      </c>
      <c r="D32" s="197"/>
      <c r="E32" s="198">
        <v>150000.0</v>
      </c>
      <c r="F32" s="203"/>
      <c r="G32" s="200" t="s">
        <v>509</v>
      </c>
      <c r="H32" s="92"/>
    </row>
    <row r="33">
      <c r="A33" s="206"/>
      <c r="B33" s="195"/>
      <c r="C33" s="71" t="s">
        <v>512</v>
      </c>
      <c r="D33" s="197"/>
      <c r="E33" s="198">
        <v>150000.0</v>
      </c>
      <c r="F33" s="203"/>
      <c r="G33" s="200" t="s">
        <v>509</v>
      </c>
      <c r="H33" s="92"/>
    </row>
    <row r="34">
      <c r="A34" s="206"/>
      <c r="B34" s="195"/>
      <c r="C34" s="71" t="s">
        <v>513</v>
      </c>
      <c r="D34" s="197"/>
      <c r="E34" s="198">
        <v>100000.0</v>
      </c>
      <c r="F34" s="203"/>
      <c r="G34" s="200" t="s">
        <v>509</v>
      </c>
      <c r="H34" s="92"/>
    </row>
    <row r="35">
      <c r="A35" s="206"/>
      <c r="B35" s="195"/>
      <c r="C35" s="71" t="s">
        <v>514</v>
      </c>
      <c r="D35" s="197"/>
      <c r="E35" s="198">
        <v>100000.0</v>
      </c>
      <c r="F35" s="203"/>
      <c r="G35" s="200" t="s">
        <v>509</v>
      </c>
      <c r="H35" s="92"/>
    </row>
    <row r="36">
      <c r="A36" s="219"/>
      <c r="B36" s="220">
        <v>45816.0</v>
      </c>
      <c r="C36" s="222" t="s">
        <v>520</v>
      </c>
      <c r="D36" s="223"/>
      <c r="E36" s="224">
        <v>800000.0</v>
      </c>
      <c r="F36" s="225"/>
      <c r="G36" s="226" t="s">
        <v>422</v>
      </c>
      <c r="H36" s="22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>
      <c r="A37" s="206"/>
      <c r="B37" s="195"/>
      <c r="C37" s="71"/>
      <c r="D37" s="197"/>
      <c r="E37" s="198"/>
      <c r="F37" s="203"/>
      <c r="G37" s="200"/>
      <c r="H37" s="92"/>
    </row>
    <row r="38">
      <c r="A38" s="206"/>
      <c r="B38" s="195">
        <v>45817.0</v>
      </c>
      <c r="C38" s="71" t="s">
        <v>523</v>
      </c>
      <c r="D38" s="197" t="s">
        <v>449</v>
      </c>
      <c r="E38" s="198">
        <v>40000.0</v>
      </c>
      <c r="F38" s="203"/>
      <c r="G38" s="200" t="s">
        <v>525</v>
      </c>
      <c r="H38" s="92"/>
    </row>
    <row r="39">
      <c r="A39" s="206"/>
      <c r="B39" s="195"/>
      <c r="C39" s="71" t="s">
        <v>529</v>
      </c>
      <c r="D39" s="197" t="s">
        <v>449</v>
      </c>
      <c r="E39" s="198">
        <v>50000.0</v>
      </c>
      <c r="F39" s="203"/>
      <c r="G39" s="200" t="s">
        <v>525</v>
      </c>
      <c r="H39" s="92"/>
    </row>
    <row r="40">
      <c r="A40" s="206"/>
      <c r="B40" s="195"/>
      <c r="C40" s="71" t="s">
        <v>531</v>
      </c>
      <c r="D40" s="197"/>
      <c r="E40" s="198">
        <v>300000.0</v>
      </c>
      <c r="F40" s="203"/>
      <c r="G40" s="200" t="s">
        <v>525</v>
      </c>
      <c r="H40" s="92"/>
    </row>
    <row r="41">
      <c r="A41" s="206"/>
      <c r="B41" s="195"/>
      <c r="C41" s="71" t="s">
        <v>534</v>
      </c>
      <c r="D41" s="197" t="s">
        <v>535</v>
      </c>
      <c r="E41" s="198">
        <v>120000.0</v>
      </c>
      <c r="F41" s="203"/>
      <c r="G41" s="200" t="s">
        <v>525</v>
      </c>
      <c r="H41" s="92"/>
    </row>
    <row r="42">
      <c r="A42" s="206"/>
      <c r="B42" s="195"/>
      <c r="C42" s="71" t="s">
        <v>536</v>
      </c>
      <c r="D42" s="197"/>
      <c r="E42" s="198">
        <v>100000.0</v>
      </c>
      <c r="F42" s="203"/>
      <c r="G42" s="200" t="s">
        <v>525</v>
      </c>
      <c r="H42" s="92"/>
    </row>
    <row r="43">
      <c r="A43" s="206"/>
      <c r="B43" s="195"/>
      <c r="C43" s="71" t="s">
        <v>537</v>
      </c>
      <c r="D43" s="197"/>
      <c r="E43" s="198">
        <v>100000.0</v>
      </c>
      <c r="F43" s="203"/>
      <c r="G43" s="200" t="s">
        <v>525</v>
      </c>
      <c r="H43" s="92"/>
    </row>
    <row r="44">
      <c r="A44" s="206"/>
      <c r="B44" s="195"/>
      <c r="C44" s="71"/>
      <c r="D44" s="197"/>
      <c r="E44" s="198"/>
      <c r="F44" s="203"/>
      <c r="G44" s="200"/>
      <c r="H44" s="92"/>
    </row>
    <row r="45">
      <c r="A45" s="206"/>
      <c r="B45" s="195">
        <v>45817.0</v>
      </c>
      <c r="C45" s="71" t="s">
        <v>540</v>
      </c>
      <c r="D45" s="197" t="s">
        <v>541</v>
      </c>
      <c r="E45" s="198">
        <v>105000.0</v>
      </c>
      <c r="F45" s="203"/>
      <c r="G45" s="200" t="s">
        <v>422</v>
      </c>
      <c r="H45" s="92"/>
    </row>
    <row r="46">
      <c r="A46" s="206"/>
      <c r="B46" s="195"/>
      <c r="C46" s="71" t="s">
        <v>545</v>
      </c>
      <c r="D46" s="197"/>
      <c r="E46" s="198">
        <v>15000.0</v>
      </c>
      <c r="F46" s="203"/>
      <c r="G46" s="200" t="s">
        <v>422</v>
      </c>
      <c r="H46" s="208" t="s">
        <v>549</v>
      </c>
    </row>
    <row r="47">
      <c r="A47" s="206"/>
      <c r="B47" s="195"/>
      <c r="C47" s="229" t="s">
        <v>550</v>
      </c>
      <c r="D47" s="197" t="s">
        <v>476</v>
      </c>
      <c r="E47" s="198">
        <v>40000.0</v>
      </c>
      <c r="F47" s="203"/>
      <c r="G47" s="200" t="s">
        <v>422</v>
      </c>
      <c r="H47" s="208" t="s">
        <v>551</v>
      </c>
    </row>
    <row r="48">
      <c r="A48" s="206"/>
      <c r="B48" s="195"/>
      <c r="C48" s="229" t="s">
        <v>553</v>
      </c>
      <c r="D48" s="197" t="s">
        <v>554</v>
      </c>
      <c r="E48" s="198">
        <v>110000.0</v>
      </c>
      <c r="F48" s="203"/>
      <c r="G48" s="200" t="s">
        <v>422</v>
      </c>
      <c r="H48" s="92"/>
    </row>
    <row r="49">
      <c r="A49" s="206"/>
      <c r="B49" s="195">
        <v>45817.0</v>
      </c>
      <c r="C49" s="71" t="s">
        <v>555</v>
      </c>
      <c r="D49" s="197"/>
      <c r="E49" s="198">
        <v>200000.0</v>
      </c>
      <c r="F49" s="203"/>
      <c r="G49" s="200" t="s">
        <v>422</v>
      </c>
      <c r="H49" s="92"/>
    </row>
    <row r="50">
      <c r="A50" s="206"/>
      <c r="B50" s="195">
        <v>45818.0</v>
      </c>
      <c r="C50" s="71" t="s">
        <v>556</v>
      </c>
      <c r="D50" s="197"/>
      <c r="E50" s="198">
        <v>15000.0</v>
      </c>
      <c r="F50" s="203"/>
      <c r="G50" s="200" t="s">
        <v>422</v>
      </c>
      <c r="H50" s="208" t="s">
        <v>557</v>
      </c>
    </row>
    <row r="51">
      <c r="A51" s="206"/>
      <c r="B51" s="195"/>
      <c r="C51" s="71" t="s">
        <v>560</v>
      </c>
      <c r="D51" s="197"/>
      <c r="E51" s="198">
        <v>20000.0</v>
      </c>
      <c r="F51" s="203"/>
      <c r="G51" s="200" t="s">
        <v>422</v>
      </c>
      <c r="H51" s="92"/>
    </row>
    <row r="52">
      <c r="A52" s="206"/>
      <c r="B52" s="195"/>
      <c r="C52" s="71" t="s">
        <v>562</v>
      </c>
      <c r="D52" s="197"/>
      <c r="E52" s="198">
        <v>200000.0</v>
      </c>
      <c r="F52" s="203"/>
      <c r="G52" s="200" t="s">
        <v>422</v>
      </c>
      <c r="H52" s="92"/>
    </row>
    <row r="53">
      <c r="A53" s="206"/>
      <c r="B53" s="195">
        <v>45818.0</v>
      </c>
      <c r="C53" s="71" t="s">
        <v>564</v>
      </c>
      <c r="D53" s="197" t="s">
        <v>476</v>
      </c>
      <c r="E53" s="198">
        <v>70000.0</v>
      </c>
      <c r="F53" s="203"/>
      <c r="G53" s="200" t="s">
        <v>429</v>
      </c>
      <c r="H53" s="208" t="s">
        <v>567</v>
      </c>
    </row>
    <row r="54">
      <c r="A54" s="206"/>
      <c r="B54" s="195">
        <v>45819.0</v>
      </c>
      <c r="C54" s="202" t="s">
        <v>568</v>
      </c>
      <c r="D54" s="197"/>
      <c r="E54" s="198">
        <v>1.0E7</v>
      </c>
      <c r="F54" s="203">
        <v>2500.0</v>
      </c>
      <c r="G54" s="200" t="s">
        <v>569</v>
      </c>
      <c r="H54" s="92"/>
    </row>
    <row r="55">
      <c r="A55" s="206"/>
      <c r="B55" s="195">
        <v>45821.0</v>
      </c>
      <c r="C55" s="71" t="s">
        <v>570</v>
      </c>
      <c r="D55" s="197"/>
      <c r="E55" s="198">
        <v>450000.0</v>
      </c>
      <c r="F55" s="203"/>
      <c r="G55" s="200" t="s">
        <v>422</v>
      </c>
      <c r="H55" s="208" t="s">
        <v>571</v>
      </c>
    </row>
    <row r="56">
      <c r="A56" s="206"/>
      <c r="B56" s="195">
        <v>45823.0</v>
      </c>
      <c r="C56" s="202" t="s">
        <v>575</v>
      </c>
      <c r="D56" s="197"/>
      <c r="E56" s="198">
        <v>1.5E7</v>
      </c>
      <c r="F56" s="203"/>
      <c r="G56" s="200" t="s">
        <v>569</v>
      </c>
      <c r="H56" s="92"/>
    </row>
    <row r="57">
      <c r="A57" s="206"/>
      <c r="B57" s="195"/>
      <c r="C57" s="71"/>
      <c r="D57" s="197"/>
      <c r="E57" s="198"/>
      <c r="F57" s="203"/>
      <c r="G57" s="200"/>
      <c r="H57" s="92"/>
    </row>
    <row r="58">
      <c r="A58" s="206"/>
      <c r="B58" s="195">
        <v>45825.0</v>
      </c>
      <c r="C58" s="71" t="s">
        <v>576</v>
      </c>
      <c r="D58" s="197" t="s">
        <v>476</v>
      </c>
      <c r="E58" s="198">
        <v>275000.0</v>
      </c>
      <c r="F58" s="203"/>
      <c r="G58" s="200" t="s">
        <v>582</v>
      </c>
      <c r="H58" s="208"/>
    </row>
    <row r="59">
      <c r="A59" s="206"/>
      <c r="C59" s="201" t="s">
        <v>583</v>
      </c>
      <c r="D59" s="231"/>
      <c r="E59" s="198">
        <v>50000.0</v>
      </c>
    </row>
    <row r="60">
      <c r="A60" s="206"/>
      <c r="B60" s="195"/>
      <c r="C60" s="71"/>
      <c r="D60" s="197"/>
      <c r="E60" s="198"/>
      <c r="F60" s="203"/>
      <c r="G60" s="200"/>
      <c r="H60" s="92"/>
    </row>
    <row r="61">
      <c r="A61" s="206"/>
      <c r="D61" s="231"/>
      <c r="E61" s="232"/>
      <c r="H61" s="92"/>
    </row>
    <row r="62">
      <c r="A62" s="206"/>
      <c r="B62" s="195">
        <v>45825.0</v>
      </c>
      <c r="C62" s="216" t="s">
        <v>584</v>
      </c>
      <c r="D62" s="197"/>
      <c r="E62" s="198">
        <v>70000.0</v>
      </c>
      <c r="F62" s="203"/>
      <c r="G62" s="200" t="s">
        <v>422</v>
      </c>
      <c r="H62" s="208"/>
    </row>
    <row r="63">
      <c r="A63" s="206"/>
      <c r="B63" s="195"/>
      <c r="C63" s="216" t="s">
        <v>586</v>
      </c>
      <c r="D63" s="197"/>
      <c r="E63" s="198">
        <v>17000.0</v>
      </c>
      <c r="F63" s="203"/>
      <c r="G63" s="200" t="s">
        <v>422</v>
      </c>
      <c r="H63" s="92"/>
    </row>
    <row r="64">
      <c r="A64" s="206"/>
      <c r="B64" s="195"/>
      <c r="C64" s="216" t="s">
        <v>587</v>
      </c>
      <c r="D64" s="197"/>
      <c r="E64" s="198">
        <v>100000.0</v>
      </c>
      <c r="F64" s="203"/>
      <c r="G64" s="200" t="s">
        <v>422</v>
      </c>
      <c r="H64" s="92"/>
    </row>
    <row r="65">
      <c r="A65" s="206"/>
      <c r="B65" s="195">
        <v>45826.0</v>
      </c>
      <c r="C65" s="211" t="s">
        <v>588</v>
      </c>
      <c r="D65" s="197" t="s">
        <v>476</v>
      </c>
      <c r="E65" s="233">
        <v>500000.0</v>
      </c>
      <c r="F65" s="203"/>
      <c r="G65" s="200" t="s">
        <v>422</v>
      </c>
      <c r="H65" s="208" t="s">
        <v>590</v>
      </c>
    </row>
    <row r="66">
      <c r="A66" s="206"/>
      <c r="B66" s="195">
        <v>45827.0</v>
      </c>
      <c r="C66" s="211" t="s">
        <v>592</v>
      </c>
      <c r="D66" s="197" t="s">
        <v>476</v>
      </c>
      <c r="E66" s="198">
        <v>800000.0</v>
      </c>
      <c r="F66" s="203"/>
      <c r="G66" s="200" t="s">
        <v>422</v>
      </c>
      <c r="H66" s="208"/>
    </row>
    <row r="67">
      <c r="A67" s="206"/>
      <c r="B67" s="195">
        <v>45827.0</v>
      </c>
      <c r="C67" s="71" t="s">
        <v>596</v>
      </c>
      <c r="D67" s="197"/>
      <c r="E67" s="198">
        <v>50000.0</v>
      </c>
      <c r="F67" s="203"/>
      <c r="G67" s="200" t="s">
        <v>597</v>
      </c>
      <c r="H67" s="208" t="s">
        <v>598</v>
      </c>
    </row>
    <row r="68">
      <c r="A68" s="206"/>
      <c r="B68" s="195"/>
      <c r="C68" s="71" t="s">
        <v>534</v>
      </c>
      <c r="D68" s="197" t="s">
        <v>601</v>
      </c>
      <c r="E68" s="198">
        <v>60000.0</v>
      </c>
      <c r="F68" s="203"/>
      <c r="G68" s="200" t="s">
        <v>597</v>
      </c>
      <c r="H68" s="92"/>
    </row>
    <row r="69">
      <c r="A69" s="206"/>
      <c r="B69" s="195"/>
      <c r="C69" s="71" t="s">
        <v>602</v>
      </c>
      <c r="D69" s="197"/>
      <c r="E69" s="198">
        <v>50000.0</v>
      </c>
      <c r="F69" s="203"/>
      <c r="G69" s="200" t="s">
        <v>597</v>
      </c>
      <c r="H69" s="92"/>
    </row>
    <row r="70">
      <c r="A70" s="206"/>
      <c r="B70" s="195"/>
      <c r="C70" s="71" t="s">
        <v>605</v>
      </c>
      <c r="D70" s="197"/>
      <c r="E70" s="198">
        <v>200000.0</v>
      </c>
      <c r="F70" s="203"/>
      <c r="G70" s="200" t="s">
        <v>606</v>
      </c>
      <c r="H70" s="92"/>
    </row>
    <row r="71">
      <c r="A71" s="206"/>
      <c r="B71" s="195"/>
      <c r="C71" s="71" t="s">
        <v>608</v>
      </c>
      <c r="D71" s="197"/>
      <c r="E71" s="233">
        <v>150000.0</v>
      </c>
      <c r="F71" s="203"/>
      <c r="G71" s="200" t="s">
        <v>606</v>
      </c>
      <c r="H71" s="208" t="s">
        <v>612</v>
      </c>
    </row>
    <row r="72">
      <c r="A72" s="206"/>
      <c r="B72" s="195">
        <v>45829.0</v>
      </c>
      <c r="C72" s="71" t="s">
        <v>613</v>
      </c>
      <c r="D72" s="71" t="s">
        <v>614</v>
      </c>
      <c r="E72" s="233">
        <v>187000.0</v>
      </c>
      <c r="F72" s="92"/>
      <c r="G72" s="200" t="s">
        <v>615</v>
      </c>
      <c r="H72" s="208"/>
    </row>
    <row r="73">
      <c r="A73" s="206"/>
      <c r="B73" s="92"/>
      <c r="C73" s="71" t="s">
        <v>618</v>
      </c>
      <c r="D73" s="71" t="s">
        <v>476</v>
      </c>
      <c r="E73" s="233">
        <v>45000.0</v>
      </c>
      <c r="F73" s="92"/>
      <c r="G73" s="200" t="s">
        <v>619</v>
      </c>
      <c r="H73" s="92"/>
    </row>
    <row r="74">
      <c r="A74" s="206"/>
      <c r="B74" s="92"/>
      <c r="C74" s="71" t="s">
        <v>631</v>
      </c>
      <c r="D74" s="71" t="s">
        <v>476</v>
      </c>
      <c r="E74" s="233">
        <v>20000.0</v>
      </c>
      <c r="F74" s="92"/>
      <c r="G74" s="200" t="s">
        <v>619</v>
      </c>
      <c r="H74" s="92"/>
    </row>
    <row r="75">
      <c r="A75" s="206"/>
      <c r="B75" s="92"/>
      <c r="C75" s="71" t="s">
        <v>634</v>
      </c>
      <c r="D75" s="71" t="s">
        <v>614</v>
      </c>
      <c r="E75" s="233">
        <v>10000.0</v>
      </c>
      <c r="F75" s="92"/>
      <c r="G75" s="200" t="s">
        <v>619</v>
      </c>
      <c r="H75" s="92"/>
    </row>
    <row r="76">
      <c r="A76" s="206"/>
      <c r="B76" s="195"/>
      <c r="C76" s="71" t="s">
        <v>635</v>
      </c>
      <c r="D76" s="71" t="s">
        <v>476</v>
      </c>
      <c r="E76" s="233">
        <v>15000.0</v>
      </c>
      <c r="F76" s="203"/>
      <c r="G76" s="200" t="s">
        <v>619</v>
      </c>
      <c r="H76" s="92"/>
    </row>
    <row r="77">
      <c r="A77" s="206"/>
      <c r="B77" s="195"/>
      <c r="C77" s="71" t="s">
        <v>640</v>
      </c>
      <c r="D77" s="71" t="s">
        <v>641</v>
      </c>
      <c r="E77" s="233">
        <v>160000.0</v>
      </c>
      <c r="F77" s="203"/>
      <c r="G77" s="200" t="s">
        <v>619</v>
      </c>
      <c r="H77" s="92"/>
    </row>
    <row r="78">
      <c r="A78" s="206"/>
      <c r="B78" s="195"/>
      <c r="C78" s="71" t="s">
        <v>644</v>
      </c>
      <c r="D78" s="71"/>
      <c r="E78" s="233">
        <v>150000.0</v>
      </c>
      <c r="F78" s="203"/>
      <c r="G78" s="200" t="s">
        <v>619</v>
      </c>
      <c r="H78" s="92"/>
    </row>
    <row r="79">
      <c r="A79" s="206"/>
      <c r="B79" s="195">
        <v>45829.0</v>
      </c>
      <c r="C79" s="71" t="s">
        <v>645</v>
      </c>
      <c r="D79" s="197" t="s">
        <v>476</v>
      </c>
      <c r="E79" s="233">
        <v>57440.0</v>
      </c>
      <c r="F79" s="203"/>
      <c r="G79" s="200" t="s">
        <v>470</v>
      </c>
      <c r="H79" s="237" t="s">
        <v>648</v>
      </c>
    </row>
    <row r="80">
      <c r="A80" s="206"/>
      <c r="B80" s="195"/>
      <c r="C80" s="71" t="s">
        <v>649</v>
      </c>
      <c r="D80" s="197" t="s">
        <v>476</v>
      </c>
      <c r="E80" s="233">
        <v>46250.0</v>
      </c>
      <c r="F80" s="203"/>
      <c r="G80" s="200" t="s">
        <v>470</v>
      </c>
      <c r="H80" s="237" t="s">
        <v>648</v>
      </c>
    </row>
    <row r="81">
      <c r="A81" s="206"/>
      <c r="B81" s="195">
        <v>45831.0</v>
      </c>
      <c r="C81" s="200" t="s">
        <v>653</v>
      </c>
      <c r="D81" s="239" t="s">
        <v>482</v>
      </c>
      <c r="E81" s="198">
        <v>28000.0</v>
      </c>
      <c r="F81" s="203"/>
      <c r="G81" s="200" t="s">
        <v>619</v>
      </c>
      <c r="H81" s="208" t="s">
        <v>656</v>
      </c>
    </row>
    <row r="82">
      <c r="A82" s="206"/>
      <c r="B82" s="92"/>
      <c r="C82" s="200" t="s">
        <v>658</v>
      </c>
      <c r="D82" s="239" t="s">
        <v>659</v>
      </c>
      <c r="E82" s="198">
        <v>35000.0</v>
      </c>
      <c r="F82" s="203"/>
      <c r="G82" s="200" t="s">
        <v>619</v>
      </c>
      <c r="H82" s="92"/>
    </row>
    <row r="83">
      <c r="A83" s="206"/>
      <c r="B83" s="92"/>
      <c r="C83" s="200" t="s">
        <v>644</v>
      </c>
      <c r="D83" s="240"/>
      <c r="E83" s="198">
        <v>50000.0</v>
      </c>
      <c r="F83" s="203"/>
      <c r="G83" s="200" t="s">
        <v>619</v>
      </c>
      <c r="H83" s="92"/>
    </row>
    <row r="84">
      <c r="A84" s="206"/>
      <c r="B84" s="195">
        <v>45832.0</v>
      </c>
      <c r="C84" s="71" t="s">
        <v>665</v>
      </c>
      <c r="D84" s="197" t="s">
        <v>666</v>
      </c>
      <c r="E84" s="198">
        <v>363000.0</v>
      </c>
      <c r="F84" s="203"/>
      <c r="G84" s="200" t="s">
        <v>667</v>
      </c>
      <c r="H84" s="237" t="s">
        <v>648</v>
      </c>
    </row>
    <row r="85">
      <c r="A85" s="206"/>
      <c r="B85" s="195">
        <v>45832.0</v>
      </c>
      <c r="C85" s="71" t="s">
        <v>668</v>
      </c>
      <c r="D85" s="197"/>
      <c r="E85" s="198">
        <v>450000.0</v>
      </c>
      <c r="F85" s="203"/>
      <c r="G85" s="200" t="s">
        <v>669</v>
      </c>
      <c r="H85" s="92"/>
    </row>
    <row r="86">
      <c r="A86" s="206"/>
      <c r="B86" s="195">
        <v>45832.0</v>
      </c>
      <c r="C86" s="71" t="s">
        <v>673</v>
      </c>
      <c r="D86" s="197"/>
      <c r="E86" s="198">
        <v>181400.0</v>
      </c>
      <c r="F86" s="203"/>
      <c r="G86" s="200" t="s">
        <v>674</v>
      </c>
      <c r="H86" s="237" t="s">
        <v>648</v>
      </c>
    </row>
    <row r="87">
      <c r="A87" s="206"/>
      <c r="B87" s="195"/>
      <c r="C87" s="71" t="s">
        <v>675</v>
      </c>
      <c r="D87" s="197"/>
      <c r="E87" s="198">
        <v>66582.0</v>
      </c>
      <c r="F87" s="203"/>
      <c r="G87" s="200" t="s">
        <v>470</v>
      </c>
      <c r="H87" s="237" t="s">
        <v>648</v>
      </c>
    </row>
    <row r="88">
      <c r="A88" s="206"/>
      <c r="B88" s="195"/>
      <c r="C88" s="71" t="s">
        <v>679</v>
      </c>
      <c r="D88" s="197"/>
      <c r="E88" s="198">
        <v>136536.0</v>
      </c>
      <c r="F88" s="203"/>
      <c r="G88" s="200" t="s">
        <v>470</v>
      </c>
      <c r="H88" s="237" t="s">
        <v>648</v>
      </c>
    </row>
    <row r="89">
      <c r="A89" s="206"/>
      <c r="B89" s="195"/>
      <c r="C89" s="71" t="s">
        <v>681</v>
      </c>
      <c r="D89" s="197"/>
      <c r="E89" s="198">
        <v>162130.0</v>
      </c>
      <c r="F89" s="203"/>
      <c r="G89" s="200"/>
      <c r="H89" s="92"/>
    </row>
    <row r="90">
      <c r="A90" s="206"/>
      <c r="B90" s="195">
        <v>45837.0</v>
      </c>
      <c r="C90" s="71" t="s">
        <v>684</v>
      </c>
      <c r="D90" s="197" t="s">
        <v>685</v>
      </c>
      <c r="E90" s="198">
        <v>140000.0</v>
      </c>
      <c r="F90" s="203"/>
      <c r="G90" s="200" t="s">
        <v>582</v>
      </c>
      <c r="H90" s="92"/>
    </row>
    <row r="91">
      <c r="A91" s="206"/>
      <c r="B91" s="195"/>
      <c r="C91" s="71" t="s">
        <v>686</v>
      </c>
      <c r="D91" s="197" t="s">
        <v>476</v>
      </c>
      <c r="E91" s="198">
        <v>400000.0</v>
      </c>
      <c r="F91" s="203"/>
      <c r="G91" s="200" t="s">
        <v>582</v>
      </c>
      <c r="H91" s="92"/>
    </row>
    <row r="92">
      <c r="A92" s="206"/>
      <c r="B92" s="195"/>
      <c r="C92" s="71"/>
      <c r="D92" s="197"/>
      <c r="E92" s="198"/>
      <c r="F92" s="203"/>
      <c r="G92" s="200"/>
      <c r="H92" s="92"/>
    </row>
    <row r="93">
      <c r="A93" s="206"/>
      <c r="B93" s="195"/>
      <c r="C93" s="71"/>
      <c r="D93" s="197"/>
      <c r="E93" s="198"/>
      <c r="F93" s="203"/>
      <c r="G93" s="200"/>
      <c r="H93" s="92"/>
    </row>
    <row r="94">
      <c r="A94" s="206"/>
      <c r="B94" s="195">
        <v>45838.0</v>
      </c>
      <c r="C94" s="71" t="s">
        <v>690</v>
      </c>
      <c r="D94" s="197" t="s">
        <v>476</v>
      </c>
      <c r="E94" s="198">
        <v>1400000.0</v>
      </c>
      <c r="F94" s="203"/>
      <c r="G94" s="200" t="s">
        <v>692</v>
      </c>
      <c r="H94" s="92"/>
    </row>
    <row r="95">
      <c r="A95" s="206"/>
      <c r="B95" s="195"/>
      <c r="C95" s="71" t="s">
        <v>694</v>
      </c>
      <c r="D95" s="197"/>
      <c r="E95" s="198">
        <v>2500000.0</v>
      </c>
      <c r="F95" s="203"/>
      <c r="G95" s="200"/>
      <c r="H95" s="92"/>
    </row>
    <row r="96">
      <c r="A96" s="206"/>
      <c r="B96" s="195"/>
      <c r="C96" s="71" t="s">
        <v>695</v>
      </c>
      <c r="D96" s="197" t="s">
        <v>476</v>
      </c>
      <c r="E96" s="198">
        <v>45000.0</v>
      </c>
      <c r="F96" s="203"/>
      <c r="G96" s="200"/>
      <c r="H96" s="92"/>
    </row>
    <row r="97">
      <c r="A97" s="206"/>
      <c r="B97" s="195"/>
      <c r="C97" s="71" t="s">
        <v>698</v>
      </c>
      <c r="D97" s="197"/>
      <c r="E97" s="198">
        <v>40000.0</v>
      </c>
      <c r="F97" s="203"/>
      <c r="G97" s="200"/>
      <c r="H97" s="92"/>
    </row>
    <row r="98">
      <c r="A98" s="245"/>
      <c r="B98" s="246"/>
      <c r="C98" s="247"/>
      <c r="D98" s="248"/>
      <c r="E98" s="249"/>
      <c r="F98" s="249"/>
      <c r="G98" s="251"/>
      <c r="H98" s="252"/>
      <c r="I98" s="254"/>
      <c r="J98" s="254"/>
      <c r="K98" s="254"/>
      <c r="L98" s="254"/>
      <c r="M98" s="254"/>
      <c r="N98" s="254"/>
      <c r="O98" s="254"/>
      <c r="P98" s="254"/>
      <c r="Q98" s="254"/>
      <c r="R98" s="254"/>
      <c r="S98" s="254"/>
      <c r="T98" s="254"/>
      <c r="U98" s="254"/>
      <c r="V98" s="254"/>
      <c r="W98" s="254"/>
      <c r="X98" s="254"/>
      <c r="Y98" s="254"/>
      <c r="Z98" s="254"/>
      <c r="AA98" s="254"/>
      <c r="AB98" s="254"/>
      <c r="AC98" s="254"/>
      <c r="AD98" s="254"/>
      <c r="AE98" s="254"/>
      <c r="AF98" s="254"/>
      <c r="AG98" s="254"/>
      <c r="AH98" s="254"/>
      <c r="AI98" s="254"/>
      <c r="AJ98" s="254"/>
      <c r="AK98" s="254"/>
      <c r="AL98" s="254"/>
      <c r="AM98" s="254"/>
      <c r="AN98" s="254"/>
      <c r="AO98" s="254"/>
      <c r="AP98" s="254"/>
      <c r="AQ98" s="254"/>
      <c r="AR98" s="254"/>
      <c r="AS98" s="254"/>
      <c r="AT98" s="254"/>
    </row>
    <row r="99">
      <c r="A99" s="255"/>
      <c r="B99" s="256">
        <v>45840.0</v>
      </c>
      <c r="C99" s="211" t="s">
        <v>708</v>
      </c>
      <c r="D99" s="197" t="s">
        <v>476</v>
      </c>
      <c r="E99" s="257">
        <v>300000.0</v>
      </c>
      <c r="F99" s="203"/>
      <c r="G99" s="200" t="s">
        <v>711</v>
      </c>
      <c r="H99" s="208" t="s">
        <v>712</v>
      </c>
    </row>
    <row r="100">
      <c r="A100" s="206"/>
      <c r="B100" s="195">
        <v>45841.0</v>
      </c>
      <c r="C100" s="211" t="s">
        <v>713</v>
      </c>
      <c r="D100" s="197" t="s">
        <v>476</v>
      </c>
      <c r="E100" s="257">
        <v>100000.0</v>
      </c>
      <c r="F100" s="203"/>
      <c r="G100" s="200" t="s">
        <v>422</v>
      </c>
      <c r="H100" s="92"/>
    </row>
    <row r="101">
      <c r="A101" s="206"/>
      <c r="B101" s="195"/>
      <c r="C101" s="211" t="s">
        <v>716</v>
      </c>
      <c r="D101" s="197" t="s">
        <v>476</v>
      </c>
      <c r="E101" s="257">
        <v>30000.0</v>
      </c>
      <c r="F101" s="203"/>
      <c r="G101" s="200"/>
      <c r="H101" s="92"/>
    </row>
    <row r="102">
      <c r="A102" s="206"/>
      <c r="B102" s="195"/>
      <c r="C102" s="71" t="s">
        <v>717</v>
      </c>
      <c r="D102" s="197"/>
      <c r="E102" s="257">
        <v>20000.0</v>
      </c>
      <c r="F102" s="203"/>
      <c r="G102" s="200"/>
      <c r="H102" s="92"/>
    </row>
    <row r="103">
      <c r="A103" s="92"/>
      <c r="B103" s="195">
        <v>45841.0</v>
      </c>
      <c r="C103" s="205" t="s">
        <v>722</v>
      </c>
      <c r="D103" s="204"/>
      <c r="E103" s="257">
        <v>166500.0</v>
      </c>
      <c r="F103" s="92"/>
      <c r="G103" s="92"/>
      <c r="H103" s="92"/>
    </row>
    <row r="104">
      <c r="A104" s="92"/>
      <c r="B104" s="195"/>
      <c r="C104" s="71" t="s">
        <v>723</v>
      </c>
      <c r="D104" s="204"/>
      <c r="E104" s="257">
        <v>100000.0</v>
      </c>
      <c r="F104" s="92"/>
      <c r="G104" s="200" t="s">
        <v>724</v>
      </c>
      <c r="H104" s="237" t="s">
        <v>648</v>
      </c>
    </row>
    <row r="105">
      <c r="A105" s="92"/>
      <c r="B105" s="195">
        <v>45845.0</v>
      </c>
      <c r="C105" s="205" t="s">
        <v>725</v>
      </c>
      <c r="D105" s="204"/>
      <c r="E105" s="259">
        <v>400000.0</v>
      </c>
      <c r="F105" s="92"/>
      <c r="G105" s="92"/>
      <c r="H105" s="208" t="s">
        <v>727</v>
      </c>
    </row>
    <row r="106">
      <c r="A106" s="206"/>
      <c r="B106" s="195">
        <v>45845.0</v>
      </c>
      <c r="C106" s="71" t="s">
        <v>729</v>
      </c>
      <c r="D106" s="197" t="s">
        <v>476</v>
      </c>
      <c r="E106" s="257">
        <v>575000.0</v>
      </c>
      <c r="F106" s="203"/>
      <c r="G106" s="200" t="s">
        <v>422</v>
      </c>
      <c r="H106" s="92"/>
    </row>
    <row r="107">
      <c r="A107" s="206"/>
      <c r="B107" s="195">
        <v>45845.0</v>
      </c>
      <c r="C107" s="71" t="s">
        <v>731</v>
      </c>
      <c r="D107" s="197"/>
      <c r="E107" s="257">
        <v>150000.0</v>
      </c>
      <c r="F107" s="203"/>
      <c r="G107" s="200"/>
      <c r="H107" s="237" t="s">
        <v>648</v>
      </c>
    </row>
    <row r="108">
      <c r="A108" s="206"/>
      <c r="B108" s="195"/>
      <c r="C108" s="71"/>
      <c r="D108" s="197"/>
      <c r="E108" s="257"/>
      <c r="F108" s="203"/>
      <c r="G108" s="200"/>
      <c r="H108" s="92"/>
    </row>
    <row r="109">
      <c r="A109" s="206"/>
      <c r="B109" s="195"/>
      <c r="C109" s="71"/>
      <c r="D109" s="197"/>
      <c r="E109" s="257"/>
      <c r="F109" s="203"/>
      <c r="G109" s="200"/>
      <c r="H109" s="92"/>
    </row>
    <row r="110">
      <c r="A110" s="206"/>
      <c r="B110" s="195"/>
      <c r="C110" s="71"/>
      <c r="D110" s="197"/>
      <c r="E110" s="257"/>
      <c r="F110" s="203"/>
      <c r="G110" s="200"/>
      <c r="H110" s="92"/>
    </row>
    <row r="111">
      <c r="A111" s="206"/>
      <c r="B111" s="195">
        <v>45851.0</v>
      </c>
      <c r="C111" s="71" t="s">
        <v>737</v>
      </c>
      <c r="D111" s="197" t="s">
        <v>449</v>
      </c>
      <c r="E111" s="257">
        <v>400000.0</v>
      </c>
      <c r="F111" s="203"/>
      <c r="G111" s="200" t="s">
        <v>582</v>
      </c>
      <c r="H111" s="92"/>
    </row>
    <row r="112">
      <c r="A112" s="206"/>
      <c r="B112" s="195"/>
      <c r="C112" s="71" t="s">
        <v>739</v>
      </c>
      <c r="D112" s="197" t="s">
        <v>449</v>
      </c>
      <c r="E112" s="257">
        <v>150000.0</v>
      </c>
      <c r="F112" s="203"/>
      <c r="G112" s="200" t="s">
        <v>582</v>
      </c>
      <c r="H112" s="92"/>
    </row>
    <row r="113">
      <c r="A113" s="206"/>
      <c r="B113" s="195"/>
      <c r="C113" s="71" t="s">
        <v>740</v>
      </c>
      <c r="D113" s="197" t="s">
        <v>482</v>
      </c>
      <c r="E113" s="257">
        <v>400000.0</v>
      </c>
      <c r="F113" s="203"/>
      <c r="G113" s="200" t="s">
        <v>582</v>
      </c>
      <c r="H113" s="92"/>
    </row>
    <row r="114">
      <c r="A114" s="206"/>
      <c r="B114" s="195"/>
      <c r="C114" s="71" t="s">
        <v>745</v>
      </c>
      <c r="D114" s="197" t="s">
        <v>476</v>
      </c>
      <c r="E114" s="257">
        <v>125000.0</v>
      </c>
      <c r="F114" s="203"/>
      <c r="G114" s="200" t="s">
        <v>582</v>
      </c>
      <c r="H114" s="92"/>
    </row>
    <row r="115">
      <c r="A115" s="206"/>
      <c r="B115" s="195"/>
      <c r="C115" s="71" t="s">
        <v>746</v>
      </c>
      <c r="D115" s="197" t="s">
        <v>747</v>
      </c>
      <c r="E115" s="257">
        <v>215000.0</v>
      </c>
      <c r="F115" s="203"/>
      <c r="G115" s="200" t="s">
        <v>582</v>
      </c>
      <c r="H115" s="92"/>
    </row>
    <row r="116">
      <c r="A116" s="206"/>
      <c r="B116" s="195"/>
      <c r="C116" s="71" t="s">
        <v>749</v>
      </c>
      <c r="D116" s="197" t="s">
        <v>747</v>
      </c>
      <c r="E116" s="257">
        <v>35000.0</v>
      </c>
      <c r="F116" s="203"/>
      <c r="G116" s="200" t="s">
        <v>582</v>
      </c>
      <c r="H116" s="92"/>
    </row>
    <row r="117">
      <c r="A117" s="206"/>
      <c r="B117" s="195"/>
      <c r="C117" s="71" t="s">
        <v>751</v>
      </c>
      <c r="D117" s="197"/>
      <c r="E117" s="257">
        <v>50000.0</v>
      </c>
      <c r="F117" s="203"/>
      <c r="G117" s="200" t="s">
        <v>754</v>
      </c>
      <c r="H117" s="92"/>
    </row>
    <row r="118">
      <c r="A118" s="206"/>
      <c r="B118" s="195">
        <v>45851.0</v>
      </c>
      <c r="C118" s="71" t="s">
        <v>755</v>
      </c>
      <c r="D118" s="197"/>
      <c r="E118" s="257">
        <v>300000.0</v>
      </c>
      <c r="F118" s="203"/>
      <c r="G118" s="200" t="s">
        <v>597</v>
      </c>
      <c r="H118" s="92"/>
    </row>
    <row r="119">
      <c r="A119" s="206"/>
      <c r="B119" s="195"/>
      <c r="C119" s="71" t="s">
        <v>757</v>
      </c>
      <c r="D119" s="197"/>
      <c r="E119" s="257">
        <v>200000.0</v>
      </c>
      <c r="F119" s="203"/>
      <c r="G119" s="200" t="s">
        <v>597</v>
      </c>
      <c r="H119" s="92"/>
    </row>
    <row r="120">
      <c r="A120" s="206"/>
      <c r="B120" s="195">
        <v>45852.0</v>
      </c>
      <c r="C120" s="205" t="s">
        <v>758</v>
      </c>
      <c r="D120" s="197"/>
      <c r="E120" s="259">
        <v>288600.0</v>
      </c>
      <c r="F120" s="203"/>
      <c r="G120" s="200"/>
      <c r="H120" s="92"/>
    </row>
    <row r="121">
      <c r="A121" s="206"/>
      <c r="B121" s="195">
        <v>45853.0</v>
      </c>
      <c r="C121" s="71" t="s">
        <v>761</v>
      </c>
      <c r="D121" s="197"/>
      <c r="E121" s="257">
        <v>50000.0</v>
      </c>
      <c r="F121" s="203"/>
      <c r="G121" s="200" t="s">
        <v>724</v>
      </c>
      <c r="H121" s="237" t="s">
        <v>648</v>
      </c>
    </row>
    <row r="122">
      <c r="A122" s="206"/>
      <c r="B122" s="195"/>
      <c r="C122" s="71"/>
      <c r="D122" s="197"/>
      <c r="E122" s="257"/>
      <c r="F122" s="203"/>
      <c r="G122" s="200"/>
      <c r="H122" s="92"/>
    </row>
    <row r="123">
      <c r="A123" s="206"/>
      <c r="B123" s="195">
        <v>45856.0</v>
      </c>
      <c r="C123" s="71" t="s">
        <v>766</v>
      </c>
      <c r="D123" s="197"/>
      <c r="E123" s="257">
        <v>250000.0</v>
      </c>
      <c r="F123" s="203"/>
      <c r="G123" s="200" t="s">
        <v>483</v>
      </c>
      <c r="H123" s="92"/>
    </row>
    <row r="124">
      <c r="A124" s="206"/>
      <c r="B124" s="195"/>
      <c r="C124" s="71" t="s">
        <v>772</v>
      </c>
      <c r="D124" s="197"/>
      <c r="E124" s="257">
        <v>250000.0</v>
      </c>
      <c r="F124" s="203"/>
      <c r="G124" s="200" t="s">
        <v>483</v>
      </c>
      <c r="H124" s="92"/>
    </row>
    <row r="125">
      <c r="A125" s="206"/>
      <c r="B125" s="195"/>
      <c r="C125" s="71"/>
      <c r="D125" s="197"/>
      <c r="E125" s="257"/>
      <c r="F125" s="203"/>
      <c r="G125" s="200"/>
      <c r="H125" s="92"/>
    </row>
    <row r="126">
      <c r="A126" s="206"/>
      <c r="B126" s="195"/>
      <c r="C126" s="71"/>
      <c r="D126" s="197"/>
      <c r="E126" s="257"/>
      <c r="F126" s="203"/>
      <c r="G126" s="200"/>
      <c r="H126" s="92"/>
    </row>
    <row r="127">
      <c r="A127" s="206"/>
      <c r="B127" s="195"/>
      <c r="C127" s="71"/>
      <c r="D127" s="197"/>
      <c r="E127" s="257"/>
      <c r="F127" s="203"/>
      <c r="G127" s="200"/>
      <c r="H127" s="92"/>
    </row>
    <row r="128">
      <c r="A128" s="206"/>
      <c r="B128" s="195"/>
      <c r="C128" s="71"/>
      <c r="D128" s="197"/>
      <c r="E128" s="257"/>
      <c r="F128" s="203"/>
      <c r="G128" s="200"/>
      <c r="H128" s="92"/>
    </row>
    <row r="129">
      <c r="A129" s="206"/>
      <c r="B129" s="195"/>
      <c r="C129" s="71"/>
      <c r="D129" s="197"/>
      <c r="E129" s="257"/>
      <c r="F129" s="203"/>
      <c r="G129" s="200"/>
      <c r="H129" s="92"/>
    </row>
    <row r="130">
      <c r="B130" s="195"/>
      <c r="C130" s="71"/>
      <c r="D130" s="197"/>
      <c r="E130" s="257"/>
      <c r="F130" s="203"/>
      <c r="G130" s="200"/>
      <c r="H130" s="92"/>
    </row>
    <row r="131">
      <c r="A131" s="206"/>
      <c r="B131" s="195">
        <v>45863.0</v>
      </c>
      <c r="C131" s="202" t="s">
        <v>784</v>
      </c>
      <c r="D131" s="197"/>
      <c r="E131" s="257">
        <v>8.0E7</v>
      </c>
      <c r="F131" s="203">
        <v>5000.0</v>
      </c>
      <c r="G131" s="69" t="s">
        <v>785</v>
      </c>
      <c r="H131" s="263" t="s">
        <v>786</v>
      </c>
    </row>
    <row r="132">
      <c r="A132" s="219"/>
      <c r="B132" s="220">
        <v>45863.0</v>
      </c>
      <c r="C132" s="265" t="s">
        <v>788</v>
      </c>
      <c r="D132" s="223"/>
      <c r="E132" s="266">
        <v>100000.0</v>
      </c>
      <c r="F132" s="267"/>
      <c r="G132" s="268" t="s">
        <v>790</v>
      </c>
      <c r="H132" s="268" t="s">
        <v>791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</row>
    <row r="133">
      <c r="A133" s="206"/>
      <c r="B133" s="195"/>
      <c r="C133" s="71" t="s">
        <v>798</v>
      </c>
      <c r="D133" s="197"/>
      <c r="E133" s="257">
        <v>50000.0</v>
      </c>
      <c r="F133" s="203"/>
      <c r="G133" s="200" t="s">
        <v>799</v>
      </c>
      <c r="H133" s="92"/>
    </row>
    <row r="134">
      <c r="A134" s="206"/>
      <c r="B134" s="195"/>
      <c r="C134" s="71" t="s">
        <v>801</v>
      </c>
      <c r="D134" s="197"/>
      <c r="E134" s="257">
        <v>20000.0</v>
      </c>
      <c r="F134" s="203"/>
      <c r="G134" s="200" t="s">
        <v>799</v>
      </c>
      <c r="H134" s="92"/>
    </row>
    <row r="135">
      <c r="A135" s="206"/>
      <c r="B135" s="195"/>
      <c r="C135" s="71" t="s">
        <v>802</v>
      </c>
      <c r="D135" s="197"/>
      <c r="E135" s="257">
        <v>25000.0</v>
      </c>
      <c r="F135" s="203"/>
      <c r="G135" s="200" t="s">
        <v>799</v>
      </c>
      <c r="H135" s="92"/>
    </row>
    <row r="136">
      <c r="A136" s="219"/>
      <c r="B136" s="273">
        <v>45864.0</v>
      </c>
      <c r="C136" s="275" t="s">
        <v>804</v>
      </c>
      <c r="D136" s="223"/>
      <c r="E136" s="266">
        <v>250000.0</v>
      </c>
      <c r="F136" s="267"/>
      <c r="G136" s="268" t="s">
        <v>806</v>
      </c>
      <c r="H136" s="26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</row>
    <row r="137">
      <c r="A137" s="206"/>
      <c r="B137" s="195">
        <v>45866.0</v>
      </c>
      <c r="C137" s="71" t="s">
        <v>808</v>
      </c>
      <c r="D137" s="197" t="s">
        <v>476</v>
      </c>
      <c r="E137" s="257">
        <v>150000.0</v>
      </c>
      <c r="F137" s="203"/>
      <c r="G137" s="200" t="s">
        <v>582</v>
      </c>
      <c r="H137" s="92"/>
    </row>
    <row r="138">
      <c r="A138" s="206"/>
      <c r="B138" s="195"/>
      <c r="C138" s="71" t="s">
        <v>810</v>
      </c>
      <c r="D138" s="197" t="s">
        <v>476</v>
      </c>
      <c r="E138" s="257">
        <v>45000.0</v>
      </c>
      <c r="F138" s="203"/>
      <c r="G138" s="200" t="s">
        <v>582</v>
      </c>
      <c r="H138" s="92"/>
    </row>
    <row r="139">
      <c r="A139" s="206"/>
      <c r="B139" s="195"/>
      <c r="C139" s="71" t="s">
        <v>813</v>
      </c>
      <c r="D139" s="197" t="s">
        <v>814</v>
      </c>
      <c r="E139" s="257">
        <v>70000.0</v>
      </c>
      <c r="F139" s="203"/>
      <c r="G139" s="200" t="s">
        <v>582</v>
      </c>
      <c r="H139" s="92"/>
    </row>
    <row r="140">
      <c r="A140" s="206"/>
      <c r="B140" s="195">
        <v>45866.0</v>
      </c>
      <c r="C140" s="71" t="s">
        <v>815</v>
      </c>
      <c r="D140" s="197" t="s">
        <v>449</v>
      </c>
      <c r="E140" s="257">
        <v>40000.0</v>
      </c>
      <c r="F140" s="203"/>
      <c r="G140" s="200" t="s">
        <v>597</v>
      </c>
      <c r="H140" s="92"/>
    </row>
    <row r="141">
      <c r="A141" s="206"/>
      <c r="B141" s="195"/>
      <c r="C141" s="71" t="s">
        <v>820</v>
      </c>
      <c r="D141" s="197" t="s">
        <v>482</v>
      </c>
      <c r="E141" s="257">
        <v>140000.0</v>
      </c>
      <c r="F141" s="203"/>
      <c r="G141" s="200" t="s">
        <v>597</v>
      </c>
      <c r="H141" s="92"/>
    </row>
    <row r="142">
      <c r="A142" s="206"/>
      <c r="B142" s="195"/>
      <c r="C142" s="71" t="s">
        <v>821</v>
      </c>
      <c r="D142" s="197" t="s">
        <v>822</v>
      </c>
      <c r="E142" s="257">
        <v>60000.0</v>
      </c>
      <c r="F142" s="203"/>
      <c r="G142" s="200" t="s">
        <v>597</v>
      </c>
      <c r="H142" s="92"/>
    </row>
    <row r="143">
      <c r="A143" s="206"/>
      <c r="B143" s="195"/>
      <c r="C143" s="71" t="s">
        <v>824</v>
      </c>
      <c r="D143" s="197" t="s">
        <v>449</v>
      </c>
      <c r="E143" s="257">
        <v>140000.0</v>
      </c>
      <c r="F143" s="203"/>
      <c r="G143" s="200" t="s">
        <v>597</v>
      </c>
      <c r="H143" s="92"/>
    </row>
    <row r="144">
      <c r="A144" s="206"/>
      <c r="B144" s="195"/>
      <c r="C144" s="71" t="s">
        <v>826</v>
      </c>
      <c r="D144" s="197"/>
      <c r="E144" s="257">
        <v>100000.0</v>
      </c>
      <c r="F144" s="203"/>
      <c r="G144" s="200" t="s">
        <v>597</v>
      </c>
      <c r="H144" s="208" t="s">
        <v>827</v>
      </c>
    </row>
    <row r="145">
      <c r="A145" s="206"/>
      <c r="B145" s="195"/>
      <c r="C145" s="71" t="s">
        <v>830</v>
      </c>
      <c r="D145" s="197"/>
      <c r="E145" s="257">
        <v>200000.0</v>
      </c>
      <c r="F145" s="203"/>
      <c r="G145" s="200" t="s">
        <v>597</v>
      </c>
      <c r="H145" s="92"/>
    </row>
    <row r="146">
      <c r="A146" s="206"/>
      <c r="B146" s="195"/>
      <c r="C146" s="71" t="s">
        <v>833</v>
      </c>
      <c r="D146" s="197"/>
      <c r="E146" s="257">
        <v>300000.0</v>
      </c>
      <c r="F146" s="203"/>
      <c r="G146" s="200" t="s">
        <v>597</v>
      </c>
      <c r="H146" s="92"/>
    </row>
    <row r="147">
      <c r="A147" s="206"/>
      <c r="B147" s="195"/>
      <c r="C147" s="71" t="s">
        <v>836</v>
      </c>
      <c r="D147" s="197"/>
      <c r="E147" s="257">
        <v>65500.0</v>
      </c>
      <c r="F147" s="203"/>
      <c r="G147" s="200"/>
      <c r="H147" s="92"/>
    </row>
    <row r="148">
      <c r="A148" s="206"/>
      <c r="B148" s="195">
        <v>45866.0</v>
      </c>
      <c r="C148" s="71" t="s">
        <v>839</v>
      </c>
      <c r="D148" s="197"/>
      <c r="E148" s="257">
        <v>200000.0</v>
      </c>
      <c r="F148" s="203"/>
      <c r="G148" s="200" t="s">
        <v>606</v>
      </c>
      <c r="H148" s="208" t="s">
        <v>840</v>
      </c>
    </row>
    <row r="149">
      <c r="A149" s="206"/>
      <c r="B149" s="195">
        <v>45866.0</v>
      </c>
      <c r="C149" s="71" t="s">
        <v>841</v>
      </c>
      <c r="D149" s="197"/>
      <c r="E149" s="257">
        <v>100000.0</v>
      </c>
      <c r="F149" s="203"/>
      <c r="G149" s="200" t="s">
        <v>842</v>
      </c>
      <c r="H149" s="208" t="s">
        <v>843</v>
      </c>
    </row>
    <row r="150">
      <c r="A150" s="245"/>
      <c r="B150" s="246"/>
      <c r="C150" s="247"/>
      <c r="D150" s="248"/>
      <c r="E150" s="249"/>
      <c r="F150" s="249"/>
      <c r="G150" s="251"/>
      <c r="H150" s="252"/>
      <c r="I150" s="254"/>
      <c r="J150" s="254"/>
      <c r="K150" s="254"/>
      <c r="L150" s="254"/>
      <c r="M150" s="254"/>
      <c r="N150" s="254"/>
      <c r="O150" s="254"/>
      <c r="P150" s="254"/>
      <c r="Q150" s="254"/>
      <c r="R150" s="254"/>
      <c r="S150" s="254"/>
      <c r="T150" s="254"/>
      <c r="U150" s="254"/>
      <c r="V150" s="254"/>
      <c r="W150" s="254"/>
      <c r="X150" s="254"/>
      <c r="Y150" s="254"/>
      <c r="Z150" s="254"/>
      <c r="AA150" s="254"/>
      <c r="AB150" s="254"/>
      <c r="AC150" s="254"/>
      <c r="AD150" s="254"/>
      <c r="AE150" s="254"/>
      <c r="AF150" s="254"/>
      <c r="AG150" s="254"/>
      <c r="AH150" s="254"/>
      <c r="AI150" s="254"/>
      <c r="AJ150" s="254"/>
      <c r="AK150" s="254"/>
      <c r="AL150" s="254"/>
      <c r="AM150" s="254"/>
      <c r="AN150" s="254"/>
      <c r="AO150" s="254"/>
      <c r="AP150" s="254"/>
      <c r="AQ150" s="254"/>
      <c r="AR150" s="254"/>
      <c r="AS150" s="254"/>
      <c r="AT150" s="254"/>
    </row>
    <row r="151">
      <c r="A151" s="278"/>
      <c r="B151" s="279">
        <v>45875.0</v>
      </c>
      <c r="C151" s="280" t="s">
        <v>847</v>
      </c>
      <c r="D151" s="197" t="s">
        <v>476</v>
      </c>
      <c r="E151" s="281">
        <v>425000.0</v>
      </c>
      <c r="F151" s="203"/>
      <c r="G151" s="200" t="s">
        <v>582</v>
      </c>
      <c r="H151" s="208" t="s">
        <v>848</v>
      </c>
    </row>
    <row r="152">
      <c r="A152" s="206"/>
      <c r="B152" s="195"/>
      <c r="C152" s="280" t="s">
        <v>849</v>
      </c>
      <c r="D152" s="197" t="s">
        <v>449</v>
      </c>
      <c r="E152" s="281">
        <v>350000.0</v>
      </c>
      <c r="F152" s="203"/>
      <c r="G152" s="200" t="s">
        <v>582</v>
      </c>
      <c r="H152" s="208" t="s">
        <v>851</v>
      </c>
    </row>
    <row r="153">
      <c r="A153" s="206"/>
      <c r="B153" s="195"/>
      <c r="C153" s="280" t="s">
        <v>853</v>
      </c>
      <c r="D153" s="197" t="s">
        <v>476</v>
      </c>
      <c r="E153" s="281">
        <v>150000.0</v>
      </c>
      <c r="F153" s="203"/>
      <c r="G153" s="200" t="s">
        <v>582</v>
      </c>
      <c r="H153" s="92"/>
    </row>
    <row r="154">
      <c r="A154" s="206"/>
      <c r="B154" s="195"/>
      <c r="C154" s="283" t="s">
        <v>855</v>
      </c>
      <c r="D154" s="197" t="s">
        <v>449</v>
      </c>
      <c r="E154" s="281">
        <v>190000.0</v>
      </c>
      <c r="F154" s="203"/>
      <c r="G154" s="200" t="s">
        <v>582</v>
      </c>
      <c r="H154" s="92"/>
    </row>
    <row r="155">
      <c r="A155" s="206"/>
      <c r="B155" s="195"/>
      <c r="C155" s="71" t="s">
        <v>860</v>
      </c>
      <c r="D155" s="197"/>
      <c r="E155" s="281">
        <v>25000.0</v>
      </c>
      <c r="F155" s="203"/>
      <c r="G155" s="200" t="s">
        <v>582</v>
      </c>
      <c r="H155" s="92"/>
    </row>
    <row r="156">
      <c r="A156" s="206"/>
      <c r="B156" s="195">
        <v>45875.0</v>
      </c>
      <c r="C156" s="71" t="s">
        <v>861</v>
      </c>
      <c r="D156" s="197" t="s">
        <v>449</v>
      </c>
      <c r="E156" s="281">
        <v>200000.0</v>
      </c>
      <c r="F156" s="203"/>
      <c r="G156" s="200" t="s">
        <v>863</v>
      </c>
      <c r="H156" s="208" t="s">
        <v>865</v>
      </c>
    </row>
    <row r="157">
      <c r="A157" s="206"/>
      <c r="B157" s="195">
        <v>45875.0</v>
      </c>
      <c r="C157" s="216" t="s">
        <v>866</v>
      </c>
      <c r="D157" s="197"/>
      <c r="E157" s="281">
        <v>70000.0</v>
      </c>
      <c r="F157" s="203"/>
      <c r="G157" s="200" t="s">
        <v>867</v>
      </c>
      <c r="H157" s="208"/>
    </row>
    <row r="158">
      <c r="A158" s="206"/>
      <c r="B158" s="195"/>
      <c r="C158" s="216" t="s">
        <v>586</v>
      </c>
      <c r="D158" s="197" t="s">
        <v>449</v>
      </c>
      <c r="E158" s="281">
        <v>35000.0</v>
      </c>
      <c r="F158" s="203"/>
      <c r="G158" s="200" t="s">
        <v>867</v>
      </c>
      <c r="H158" s="92"/>
    </row>
    <row r="159">
      <c r="A159" s="206"/>
      <c r="B159" s="195"/>
      <c r="C159" s="216" t="s">
        <v>870</v>
      </c>
      <c r="D159" s="197"/>
      <c r="E159" s="281">
        <v>50000.0</v>
      </c>
      <c r="F159" s="203"/>
      <c r="G159" s="200" t="s">
        <v>867</v>
      </c>
      <c r="H159" s="92"/>
    </row>
    <row r="160">
      <c r="A160" s="206"/>
      <c r="B160" s="195">
        <v>45875.0</v>
      </c>
      <c r="C160" s="205" t="s">
        <v>873</v>
      </c>
      <c r="D160" s="197"/>
      <c r="E160" s="259">
        <v>88800.0</v>
      </c>
      <c r="F160" s="203"/>
      <c r="G160" s="200"/>
      <c r="H160" s="92"/>
    </row>
    <row r="161">
      <c r="A161" s="206"/>
      <c r="B161" s="195">
        <v>45876.0</v>
      </c>
      <c r="C161" s="205" t="s">
        <v>876</v>
      </c>
      <c r="D161" s="197"/>
      <c r="E161" s="259">
        <v>400000.0</v>
      </c>
      <c r="F161" s="203"/>
      <c r="G161" s="200"/>
      <c r="H161" s="92"/>
    </row>
    <row r="162">
      <c r="A162" s="206"/>
      <c r="B162" s="195">
        <v>45876.0</v>
      </c>
      <c r="C162" s="71" t="s">
        <v>881</v>
      </c>
      <c r="D162" s="197"/>
      <c r="E162" s="281"/>
      <c r="F162" s="203"/>
      <c r="G162" s="200" t="s">
        <v>597</v>
      </c>
      <c r="H162" s="92"/>
    </row>
    <row r="163">
      <c r="A163" s="206"/>
      <c r="B163" s="195">
        <v>45876.0</v>
      </c>
      <c r="C163" s="71" t="s">
        <v>883</v>
      </c>
      <c r="D163" s="197" t="s">
        <v>449</v>
      </c>
      <c r="E163" s="281">
        <v>1000000.0</v>
      </c>
      <c r="F163" s="203"/>
      <c r="G163" s="200" t="s">
        <v>483</v>
      </c>
      <c r="H163" s="208" t="s">
        <v>885</v>
      </c>
    </row>
    <row r="164">
      <c r="A164" s="206"/>
      <c r="B164" s="195"/>
      <c r="C164" s="71" t="s">
        <v>886</v>
      </c>
      <c r="D164" s="197" t="s">
        <v>887</v>
      </c>
      <c r="E164" s="281">
        <v>1100000.0</v>
      </c>
      <c r="F164" s="203"/>
      <c r="G164" s="200" t="s">
        <v>483</v>
      </c>
      <c r="H164" s="208" t="s">
        <v>888</v>
      </c>
    </row>
    <row r="165">
      <c r="A165" s="206"/>
      <c r="B165" s="195"/>
      <c r="C165" s="71" t="s">
        <v>890</v>
      </c>
      <c r="D165" s="197" t="s">
        <v>476</v>
      </c>
      <c r="E165" s="281">
        <v>100000.0</v>
      </c>
      <c r="F165" s="203"/>
      <c r="G165" s="200" t="s">
        <v>483</v>
      </c>
      <c r="H165" s="92"/>
    </row>
    <row r="166">
      <c r="A166" s="206"/>
      <c r="B166" s="195"/>
      <c r="C166" s="71" t="s">
        <v>894</v>
      </c>
      <c r="D166" s="197" t="s">
        <v>449</v>
      </c>
      <c r="E166" s="281">
        <v>150000.0</v>
      </c>
      <c r="F166" s="203"/>
      <c r="G166" s="200" t="s">
        <v>483</v>
      </c>
      <c r="H166" s="92"/>
    </row>
    <row r="167">
      <c r="A167" s="206"/>
      <c r="B167" s="195"/>
      <c r="C167" s="71" t="s">
        <v>895</v>
      </c>
      <c r="D167" s="197" t="s">
        <v>476</v>
      </c>
      <c r="E167" s="281">
        <v>100000.0</v>
      </c>
      <c r="F167" s="203"/>
      <c r="G167" s="200" t="s">
        <v>483</v>
      </c>
      <c r="H167" s="92"/>
    </row>
    <row r="168">
      <c r="A168" s="206"/>
      <c r="B168" s="195"/>
      <c r="C168" s="71" t="s">
        <v>897</v>
      </c>
      <c r="D168" s="197"/>
      <c r="E168" s="281">
        <v>550000.0</v>
      </c>
      <c r="F168" s="203"/>
      <c r="G168" s="200" t="s">
        <v>483</v>
      </c>
      <c r="H168" s="92"/>
    </row>
    <row r="169">
      <c r="A169" s="206"/>
      <c r="B169" s="195">
        <v>45881.0</v>
      </c>
      <c r="C169" s="286" t="s">
        <v>900</v>
      </c>
      <c r="D169" s="197"/>
      <c r="E169" s="281">
        <v>250000.0</v>
      </c>
      <c r="F169" s="203"/>
      <c r="G169" s="200" t="s">
        <v>597</v>
      </c>
      <c r="H169" s="208" t="s">
        <v>901</v>
      </c>
    </row>
    <row r="170">
      <c r="A170" s="206"/>
      <c r="B170" s="195"/>
      <c r="C170" s="71" t="s">
        <v>820</v>
      </c>
      <c r="D170" s="197"/>
      <c r="E170" s="281">
        <v>35000.0</v>
      </c>
      <c r="F170" s="203"/>
      <c r="G170" s="200" t="s">
        <v>597</v>
      </c>
      <c r="H170" s="92"/>
    </row>
    <row r="171">
      <c r="A171" s="206"/>
      <c r="B171" s="195">
        <v>45881.0</v>
      </c>
      <c r="C171" s="71" t="s">
        <v>904</v>
      </c>
      <c r="D171" s="197"/>
      <c r="E171" s="281">
        <v>125000.0</v>
      </c>
      <c r="F171" s="203"/>
      <c r="G171" s="200" t="s">
        <v>606</v>
      </c>
      <c r="H171" s="208" t="s">
        <v>905</v>
      </c>
    </row>
    <row r="172">
      <c r="A172" s="206"/>
      <c r="B172" s="195"/>
      <c r="C172" s="71" t="s">
        <v>906</v>
      </c>
      <c r="D172" s="197"/>
      <c r="E172" s="281">
        <v>100000.0</v>
      </c>
      <c r="F172" s="203"/>
      <c r="G172" s="200" t="s">
        <v>606</v>
      </c>
      <c r="H172" s="208" t="s">
        <v>910</v>
      </c>
    </row>
    <row r="173">
      <c r="A173" s="206"/>
      <c r="B173" s="195">
        <v>45881.0</v>
      </c>
      <c r="C173" s="229" t="s">
        <v>911</v>
      </c>
      <c r="D173" s="197" t="s">
        <v>476</v>
      </c>
      <c r="E173" s="281">
        <v>65000.0</v>
      </c>
      <c r="F173" s="203"/>
      <c r="G173" s="200" t="s">
        <v>913</v>
      </c>
      <c r="H173" s="208" t="s">
        <v>914</v>
      </c>
    </row>
    <row r="174">
      <c r="A174" s="206"/>
      <c r="B174" s="195"/>
      <c r="C174" s="71" t="s">
        <v>917</v>
      </c>
      <c r="D174" s="197"/>
      <c r="E174" s="281">
        <v>50000.0</v>
      </c>
      <c r="F174" s="203"/>
      <c r="G174" s="200" t="s">
        <v>913</v>
      </c>
      <c r="H174" s="208"/>
    </row>
    <row r="175">
      <c r="A175" s="206"/>
      <c r="B175" s="195"/>
      <c r="C175" s="71" t="s">
        <v>920</v>
      </c>
      <c r="D175" s="197" t="s">
        <v>449</v>
      </c>
      <c r="E175" s="281">
        <v>40000.0</v>
      </c>
      <c r="F175" s="203"/>
      <c r="G175" s="200" t="s">
        <v>913</v>
      </c>
      <c r="H175" s="208" t="s">
        <v>910</v>
      </c>
    </row>
    <row r="176">
      <c r="A176" s="206"/>
      <c r="B176" s="195">
        <v>45883.0</v>
      </c>
      <c r="C176" s="71" t="s">
        <v>921</v>
      </c>
      <c r="D176" s="197"/>
      <c r="E176" s="281">
        <v>100000.0</v>
      </c>
      <c r="F176" s="203"/>
      <c r="G176" s="200" t="s">
        <v>923</v>
      </c>
      <c r="H176" s="208" t="s">
        <v>925</v>
      </c>
    </row>
    <row r="177">
      <c r="A177" s="206"/>
      <c r="B177" s="195">
        <v>45884.0</v>
      </c>
      <c r="C177" s="205" t="s">
        <v>926</v>
      </c>
      <c r="D177" s="197"/>
      <c r="E177" s="259">
        <v>122100.0</v>
      </c>
      <c r="F177" s="203"/>
      <c r="G177" s="204"/>
      <c r="H177" s="92"/>
    </row>
    <row r="178">
      <c r="A178" s="206"/>
      <c r="B178" s="195">
        <v>45899.0</v>
      </c>
      <c r="C178" s="71" t="s">
        <v>815</v>
      </c>
      <c r="D178" s="197" t="s">
        <v>449</v>
      </c>
      <c r="E178" s="281">
        <v>40000.0</v>
      </c>
      <c r="F178" s="203"/>
      <c r="G178" s="204"/>
      <c r="H178" s="92"/>
    </row>
    <row r="179">
      <c r="A179" s="206"/>
      <c r="B179" s="195"/>
      <c r="C179" s="71" t="s">
        <v>927</v>
      </c>
      <c r="D179" s="197" t="s">
        <v>449</v>
      </c>
      <c r="E179" s="281">
        <v>90000.0</v>
      </c>
      <c r="F179" s="203"/>
      <c r="G179" s="204"/>
      <c r="H179" s="92"/>
    </row>
    <row r="180">
      <c r="A180" s="206"/>
      <c r="B180" s="195"/>
      <c r="C180" s="71" t="s">
        <v>930</v>
      </c>
      <c r="D180" s="197" t="s">
        <v>476</v>
      </c>
      <c r="E180" s="281">
        <v>70000.0</v>
      </c>
      <c r="F180" s="203"/>
      <c r="G180" s="204"/>
      <c r="H180" s="92"/>
    </row>
    <row r="181">
      <c r="A181" s="206"/>
      <c r="B181" s="195"/>
      <c r="C181" s="71" t="s">
        <v>824</v>
      </c>
      <c r="D181" s="197" t="s">
        <v>933</v>
      </c>
      <c r="E181" s="281">
        <v>70000.0</v>
      </c>
      <c r="F181" s="203"/>
      <c r="G181" s="204"/>
      <c r="H181" s="92"/>
    </row>
    <row r="182">
      <c r="A182" s="206"/>
      <c r="B182" s="195"/>
      <c r="C182" s="71" t="s">
        <v>937</v>
      </c>
      <c r="D182" s="197"/>
      <c r="E182" s="281">
        <v>150000.0</v>
      </c>
      <c r="F182" s="203"/>
      <c r="G182" s="204"/>
      <c r="H182" s="92"/>
    </row>
    <row r="183">
      <c r="A183" s="206"/>
      <c r="B183" s="195"/>
      <c r="C183" s="71" t="s">
        <v>939</v>
      </c>
      <c r="D183" s="197"/>
      <c r="E183" s="281">
        <v>50000.0</v>
      </c>
      <c r="F183" s="203"/>
      <c r="G183" s="204"/>
      <c r="H183" s="92"/>
    </row>
    <row r="184">
      <c r="A184" s="206"/>
      <c r="B184" s="195"/>
      <c r="C184" s="71" t="s">
        <v>941</v>
      </c>
      <c r="D184" s="197"/>
      <c r="E184" s="281">
        <v>50000.0</v>
      </c>
      <c r="F184" s="203"/>
      <c r="G184" s="204"/>
      <c r="H184" s="92"/>
    </row>
    <row r="185">
      <c r="A185" s="206"/>
      <c r="B185" s="195">
        <v>45899.0</v>
      </c>
      <c r="C185" s="71" t="s">
        <v>943</v>
      </c>
      <c r="D185" s="197"/>
      <c r="E185" s="281">
        <v>10000.0</v>
      </c>
      <c r="F185" s="203"/>
      <c r="G185" s="204"/>
      <c r="H185" s="92"/>
    </row>
    <row r="186">
      <c r="A186" s="206"/>
      <c r="B186" s="195"/>
      <c r="C186" s="71" t="s">
        <v>802</v>
      </c>
      <c r="D186" s="197"/>
      <c r="E186" s="281">
        <v>20000.0</v>
      </c>
      <c r="F186" s="203"/>
      <c r="G186" s="204"/>
      <c r="H186" s="92"/>
    </row>
    <row r="187">
      <c r="A187" s="206"/>
      <c r="B187" s="195"/>
      <c r="C187" s="71" t="s">
        <v>948</v>
      </c>
      <c r="D187" s="197"/>
      <c r="E187" s="281">
        <v>20000.0</v>
      </c>
      <c r="F187" s="203"/>
      <c r="G187" s="204"/>
      <c r="H187" s="92"/>
    </row>
    <row r="188">
      <c r="A188" s="245"/>
      <c r="B188" s="246"/>
      <c r="C188" s="247"/>
      <c r="D188" s="248"/>
      <c r="E188" s="249"/>
      <c r="F188" s="249"/>
      <c r="G188" s="288"/>
      <c r="H188" s="252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4"/>
      <c r="Y188" s="254"/>
      <c r="Z188" s="254"/>
      <c r="AA188" s="254"/>
      <c r="AB188" s="254"/>
      <c r="AC188" s="254"/>
      <c r="AD188" s="254"/>
      <c r="AE188" s="254"/>
      <c r="AF188" s="254"/>
      <c r="AG188" s="254"/>
      <c r="AH188" s="254"/>
      <c r="AI188" s="254"/>
      <c r="AJ188" s="254"/>
      <c r="AK188" s="254"/>
      <c r="AL188" s="254"/>
      <c r="AM188" s="254"/>
      <c r="AN188" s="254"/>
      <c r="AO188" s="254"/>
      <c r="AP188" s="254"/>
      <c r="AQ188" s="254"/>
      <c r="AR188" s="254"/>
      <c r="AS188" s="254"/>
      <c r="AT188" s="254"/>
    </row>
    <row r="189">
      <c r="A189" s="289"/>
      <c r="B189" s="290">
        <v>45902.0</v>
      </c>
      <c r="C189" s="229" t="s">
        <v>954</v>
      </c>
      <c r="D189" s="197" t="s">
        <v>482</v>
      </c>
      <c r="E189" s="291">
        <v>320000.0</v>
      </c>
      <c r="F189" s="203"/>
      <c r="G189" s="200" t="s">
        <v>958</v>
      </c>
      <c r="H189" s="208" t="s">
        <v>959</v>
      </c>
    </row>
    <row r="190">
      <c r="A190" s="206"/>
      <c r="B190" s="195"/>
      <c r="C190" s="71" t="s">
        <v>960</v>
      </c>
      <c r="D190" s="197"/>
      <c r="E190" s="291">
        <v>150000.0</v>
      </c>
      <c r="F190" s="203"/>
      <c r="G190" s="200" t="s">
        <v>958</v>
      </c>
      <c r="H190" s="92"/>
    </row>
    <row r="191">
      <c r="A191" s="206"/>
      <c r="B191" s="195"/>
      <c r="C191" s="71" t="s">
        <v>963</v>
      </c>
      <c r="D191" s="197" t="s">
        <v>964</v>
      </c>
      <c r="E191" s="291">
        <v>120000.0</v>
      </c>
      <c r="F191" s="203"/>
      <c r="G191" s="200" t="s">
        <v>958</v>
      </c>
      <c r="H191" s="92"/>
    </row>
    <row r="192">
      <c r="A192" s="206"/>
      <c r="B192" s="195"/>
      <c r="C192" s="71" t="s">
        <v>965</v>
      </c>
      <c r="D192" s="197"/>
      <c r="E192" s="291">
        <v>50000.0</v>
      </c>
      <c r="F192" s="203"/>
      <c r="G192" s="200" t="s">
        <v>958</v>
      </c>
      <c r="H192" s="92"/>
    </row>
    <row r="193">
      <c r="A193" s="206"/>
      <c r="B193" s="195"/>
      <c r="C193" s="229" t="s">
        <v>967</v>
      </c>
      <c r="D193" s="197" t="s">
        <v>482</v>
      </c>
      <c r="E193" s="291">
        <v>320000.0</v>
      </c>
      <c r="F193" s="203"/>
      <c r="G193" s="200" t="s">
        <v>968</v>
      </c>
      <c r="H193" s="208" t="s">
        <v>969</v>
      </c>
    </row>
    <row r="194">
      <c r="A194" s="206"/>
      <c r="B194" s="195"/>
      <c r="C194" s="217" t="s">
        <v>971</v>
      </c>
      <c r="D194" s="197"/>
      <c r="E194" s="291">
        <v>40000.0</v>
      </c>
      <c r="F194" s="203"/>
      <c r="G194" s="200" t="s">
        <v>968</v>
      </c>
      <c r="H194" s="92"/>
    </row>
    <row r="195">
      <c r="A195" s="206"/>
      <c r="B195" s="195">
        <v>45907.0</v>
      </c>
      <c r="C195" s="205" t="s">
        <v>974</v>
      </c>
      <c r="D195" s="197"/>
      <c r="E195" s="259">
        <v>400000.0</v>
      </c>
      <c r="F195" s="203"/>
      <c r="G195" s="200"/>
      <c r="H195" s="92"/>
    </row>
    <row r="196">
      <c r="A196" s="206"/>
      <c r="B196" s="195">
        <v>45908.0</v>
      </c>
      <c r="C196" s="205" t="s">
        <v>976</v>
      </c>
      <c r="D196" s="197"/>
      <c r="E196" s="259">
        <v>122100.0</v>
      </c>
      <c r="F196" s="203"/>
      <c r="G196" s="204"/>
      <c r="H196" s="92"/>
    </row>
    <row r="197">
      <c r="A197" s="206"/>
      <c r="B197" s="195">
        <v>45908.0</v>
      </c>
      <c r="C197" s="229" t="s">
        <v>911</v>
      </c>
      <c r="D197" s="197" t="s">
        <v>541</v>
      </c>
      <c r="E197" s="291">
        <v>150000.0</v>
      </c>
      <c r="F197" s="203"/>
      <c r="G197" s="200" t="s">
        <v>582</v>
      </c>
      <c r="H197" s="293" t="s">
        <v>981</v>
      </c>
    </row>
    <row r="198">
      <c r="A198" s="206"/>
      <c r="B198" s="195"/>
      <c r="C198" s="229" t="s">
        <v>954</v>
      </c>
      <c r="D198" s="197" t="s">
        <v>541</v>
      </c>
      <c r="E198" s="291">
        <v>150000.0</v>
      </c>
      <c r="F198" s="203"/>
      <c r="G198" s="200" t="s">
        <v>582</v>
      </c>
      <c r="H198" s="293" t="s">
        <v>982</v>
      </c>
    </row>
    <row r="199">
      <c r="A199" s="206"/>
      <c r="B199" s="195">
        <v>45908.0</v>
      </c>
      <c r="C199" s="216" t="s">
        <v>584</v>
      </c>
      <c r="D199" s="197"/>
      <c r="E199" s="291">
        <v>70000.0</v>
      </c>
      <c r="F199" s="203"/>
      <c r="G199" s="200" t="s">
        <v>867</v>
      </c>
      <c r="H199" s="92"/>
    </row>
    <row r="200">
      <c r="A200" s="206"/>
      <c r="B200" s="195"/>
      <c r="C200" s="216" t="s">
        <v>586</v>
      </c>
      <c r="D200" s="197" t="s">
        <v>449</v>
      </c>
      <c r="E200" s="291">
        <v>35000.0</v>
      </c>
      <c r="F200" s="203"/>
      <c r="G200" s="200" t="s">
        <v>867</v>
      </c>
      <c r="H200" s="92"/>
    </row>
    <row r="201">
      <c r="A201" s="206"/>
      <c r="B201" s="195"/>
      <c r="C201" s="216" t="s">
        <v>988</v>
      </c>
      <c r="D201" s="197"/>
      <c r="E201" s="291">
        <v>50000.0</v>
      </c>
      <c r="F201" s="203"/>
      <c r="G201" s="200" t="s">
        <v>867</v>
      </c>
      <c r="H201" s="92"/>
    </row>
    <row r="202">
      <c r="A202" s="206"/>
      <c r="B202" s="195">
        <v>45910.0</v>
      </c>
      <c r="C202" s="71" t="s">
        <v>991</v>
      </c>
      <c r="D202" s="197" t="s">
        <v>993</v>
      </c>
      <c r="E202" s="291">
        <v>100000.0</v>
      </c>
      <c r="F202" s="203"/>
      <c r="G202" s="200" t="s">
        <v>996</v>
      </c>
      <c r="H202" s="92"/>
    </row>
    <row r="203">
      <c r="A203" s="206"/>
      <c r="B203" s="195"/>
      <c r="C203" s="71" t="s">
        <v>997</v>
      </c>
      <c r="D203" s="197" t="s">
        <v>476</v>
      </c>
      <c r="E203" s="291">
        <v>50000.0</v>
      </c>
      <c r="F203" s="203"/>
      <c r="G203" s="200" t="s">
        <v>996</v>
      </c>
      <c r="H203" s="92"/>
    </row>
    <row r="204">
      <c r="A204" s="206"/>
      <c r="B204" s="195"/>
      <c r="C204" s="71" t="s">
        <v>998</v>
      </c>
      <c r="D204" s="197" t="s">
        <v>476</v>
      </c>
      <c r="E204" s="291">
        <v>300000.0</v>
      </c>
      <c r="F204" s="203"/>
      <c r="G204" s="200" t="s">
        <v>996</v>
      </c>
      <c r="H204" s="92"/>
    </row>
    <row r="205">
      <c r="A205" s="206"/>
      <c r="B205" s="195"/>
      <c r="C205" s="71" t="s">
        <v>1002</v>
      </c>
      <c r="D205" s="197"/>
      <c r="E205" s="291">
        <v>50000.0</v>
      </c>
      <c r="F205" s="203"/>
      <c r="G205" s="200" t="s">
        <v>597</v>
      </c>
      <c r="H205" s="92"/>
    </row>
    <row r="206">
      <c r="A206" s="206"/>
      <c r="B206" s="195"/>
      <c r="C206" s="71" t="s">
        <v>1004</v>
      </c>
      <c r="D206" s="197"/>
      <c r="E206" s="291">
        <v>100000.0</v>
      </c>
      <c r="F206" s="203"/>
      <c r="G206" s="200" t="s">
        <v>597</v>
      </c>
      <c r="H206" s="92"/>
    </row>
    <row r="207">
      <c r="A207" s="206"/>
      <c r="B207" s="195"/>
      <c r="C207" s="71" t="s">
        <v>1005</v>
      </c>
      <c r="D207" s="197"/>
      <c r="E207" s="291">
        <v>150000.0</v>
      </c>
      <c r="F207" s="203"/>
      <c r="G207" s="200" t="s">
        <v>597</v>
      </c>
      <c r="H207" s="92"/>
    </row>
    <row r="208">
      <c r="A208" s="206"/>
      <c r="B208" s="195">
        <v>45910.0</v>
      </c>
      <c r="C208" s="71" t="s">
        <v>1008</v>
      </c>
      <c r="D208" s="197"/>
      <c r="E208" s="291">
        <v>550000.0</v>
      </c>
      <c r="F208" s="203"/>
      <c r="G208" s="200" t="s">
        <v>606</v>
      </c>
      <c r="H208" s="208" t="s">
        <v>1009</v>
      </c>
    </row>
    <row r="209">
      <c r="A209" s="206"/>
      <c r="B209" s="195"/>
      <c r="C209" s="71" t="s">
        <v>1010</v>
      </c>
      <c r="D209" s="197" t="s">
        <v>1011</v>
      </c>
      <c r="E209" s="291">
        <v>100000.0</v>
      </c>
      <c r="F209" s="203"/>
      <c r="G209" s="200" t="s">
        <v>606</v>
      </c>
      <c r="H209" s="92"/>
    </row>
    <row r="210">
      <c r="A210" s="206"/>
      <c r="B210" s="195">
        <v>45910.0</v>
      </c>
      <c r="C210" s="71" t="s">
        <v>1014</v>
      </c>
      <c r="D210" s="197" t="s">
        <v>476</v>
      </c>
      <c r="E210" s="291">
        <v>125000.0</v>
      </c>
      <c r="F210" s="203"/>
      <c r="G210" s="200" t="s">
        <v>582</v>
      </c>
      <c r="H210" s="208" t="s">
        <v>1016</v>
      </c>
    </row>
    <row r="211">
      <c r="A211" s="206"/>
      <c r="B211" s="195"/>
      <c r="C211" s="71" t="s">
        <v>1017</v>
      </c>
      <c r="D211" s="197" t="s">
        <v>1018</v>
      </c>
      <c r="E211" s="291">
        <v>75000.0</v>
      </c>
      <c r="F211" s="203"/>
      <c r="G211" s="200" t="s">
        <v>582</v>
      </c>
      <c r="H211" s="92"/>
    </row>
    <row r="212">
      <c r="A212" s="206"/>
      <c r="B212" s="195"/>
      <c r="C212" s="71" t="s">
        <v>1021</v>
      </c>
      <c r="D212" s="197" t="s">
        <v>1022</v>
      </c>
      <c r="E212" s="291">
        <v>200000.0</v>
      </c>
      <c r="F212" s="203"/>
      <c r="G212" s="200" t="s">
        <v>582</v>
      </c>
      <c r="H212" s="293" t="s">
        <v>1023</v>
      </c>
    </row>
    <row r="213">
      <c r="A213" s="206"/>
      <c r="B213" s="195"/>
      <c r="C213" s="71" t="s">
        <v>1024</v>
      </c>
      <c r="D213" s="197"/>
      <c r="E213" s="291">
        <v>50000.0</v>
      </c>
      <c r="F213" s="203"/>
      <c r="G213" s="200" t="s">
        <v>582</v>
      </c>
      <c r="H213" s="208" t="s">
        <v>1025</v>
      </c>
    </row>
    <row r="214">
      <c r="A214" s="206"/>
      <c r="B214" s="195"/>
      <c r="C214" s="71" t="s">
        <v>1026</v>
      </c>
      <c r="D214" s="197"/>
      <c r="E214" s="291">
        <v>150000.0</v>
      </c>
      <c r="F214" s="203"/>
      <c r="G214" s="200" t="s">
        <v>597</v>
      </c>
      <c r="H214" s="208"/>
    </row>
    <row r="215">
      <c r="A215" s="206"/>
      <c r="B215" s="195"/>
      <c r="C215" s="217" t="s">
        <v>1029</v>
      </c>
      <c r="D215" s="197"/>
      <c r="E215" s="291">
        <v>50000.0</v>
      </c>
      <c r="F215" s="203"/>
      <c r="G215" s="200"/>
      <c r="H215" s="208"/>
    </row>
    <row r="216">
      <c r="A216" s="206"/>
      <c r="B216" s="195">
        <v>45910.0</v>
      </c>
      <c r="C216" s="211" t="s">
        <v>1032</v>
      </c>
      <c r="D216" s="197" t="s">
        <v>554</v>
      </c>
      <c r="E216" s="291">
        <v>1650000.0</v>
      </c>
      <c r="F216" s="203"/>
      <c r="G216" s="200" t="s">
        <v>913</v>
      </c>
      <c r="H216" s="293" t="s">
        <v>1035</v>
      </c>
    </row>
    <row r="217">
      <c r="A217" s="206"/>
      <c r="B217" s="195"/>
      <c r="C217" s="295" t="s">
        <v>1036</v>
      </c>
      <c r="D217" s="197"/>
      <c r="E217" s="296">
        <v>270000.0</v>
      </c>
      <c r="F217" s="203"/>
      <c r="G217" s="200" t="s">
        <v>913</v>
      </c>
      <c r="H217" s="208"/>
    </row>
    <row r="218">
      <c r="A218" s="206"/>
      <c r="B218" s="195"/>
      <c r="C218" s="71" t="s">
        <v>717</v>
      </c>
      <c r="D218" s="197" t="s">
        <v>482</v>
      </c>
      <c r="E218" s="291">
        <v>100000.0</v>
      </c>
      <c r="F218" s="203"/>
      <c r="G218" s="200" t="s">
        <v>913</v>
      </c>
      <c r="H218" s="92"/>
    </row>
    <row r="219">
      <c r="A219" s="206"/>
      <c r="B219" s="195"/>
      <c r="C219" s="71" t="s">
        <v>1039</v>
      </c>
      <c r="D219" s="197"/>
      <c r="E219" s="291">
        <v>20000.0</v>
      </c>
      <c r="F219" s="203"/>
      <c r="G219" s="200" t="s">
        <v>913</v>
      </c>
      <c r="H219" s="92"/>
    </row>
    <row r="220">
      <c r="A220" s="206"/>
      <c r="B220" s="195"/>
      <c r="C220" s="71" t="s">
        <v>943</v>
      </c>
      <c r="D220" s="197"/>
      <c r="E220" s="291">
        <v>10000.0</v>
      </c>
      <c r="F220" s="203"/>
      <c r="G220" s="200" t="s">
        <v>913</v>
      </c>
      <c r="H220" s="92"/>
    </row>
    <row r="221">
      <c r="A221" s="206"/>
      <c r="B221" s="195"/>
      <c r="C221" s="71" t="s">
        <v>802</v>
      </c>
      <c r="D221" s="197"/>
      <c r="E221" s="291">
        <v>20000.0</v>
      </c>
      <c r="F221" s="203"/>
      <c r="G221" s="200" t="s">
        <v>913</v>
      </c>
      <c r="H221" s="92"/>
    </row>
    <row r="222">
      <c r="A222" s="206"/>
      <c r="B222" s="195">
        <v>45912.0</v>
      </c>
      <c r="C222" s="205" t="s">
        <v>1045</v>
      </c>
      <c r="D222" s="197"/>
      <c r="E222" s="259">
        <v>134052.0</v>
      </c>
      <c r="F222" s="203"/>
      <c r="G222" s="200"/>
      <c r="H222" s="92"/>
    </row>
    <row r="223">
      <c r="A223" s="206"/>
      <c r="B223" s="195">
        <v>45917.0</v>
      </c>
      <c r="C223" s="71" t="s">
        <v>1049</v>
      </c>
      <c r="D223" s="197" t="s">
        <v>554</v>
      </c>
      <c r="E223" s="291">
        <v>40000.0</v>
      </c>
      <c r="F223" s="203"/>
      <c r="G223" s="200" t="s">
        <v>597</v>
      </c>
      <c r="H223" s="92"/>
    </row>
    <row r="224">
      <c r="A224" s="206"/>
      <c r="B224" s="195"/>
      <c r="C224" s="71" t="s">
        <v>927</v>
      </c>
      <c r="D224" s="197" t="s">
        <v>1022</v>
      </c>
      <c r="E224" s="291">
        <v>40000.0</v>
      </c>
      <c r="F224" s="203"/>
      <c r="G224" s="200" t="s">
        <v>597</v>
      </c>
      <c r="H224" s="92"/>
    </row>
    <row r="225">
      <c r="A225" s="206"/>
      <c r="B225" s="195"/>
      <c r="C225" s="71" t="s">
        <v>1053</v>
      </c>
      <c r="D225" s="197" t="s">
        <v>1022</v>
      </c>
      <c r="E225" s="291">
        <v>70000.0</v>
      </c>
      <c r="F225" s="203"/>
      <c r="G225" s="200" t="s">
        <v>597</v>
      </c>
      <c r="H225" s="92"/>
    </row>
    <row r="226">
      <c r="A226" s="206"/>
      <c r="B226" s="195"/>
      <c r="C226" s="71" t="s">
        <v>1054</v>
      </c>
      <c r="D226" s="197" t="s">
        <v>1022</v>
      </c>
      <c r="E226" s="291">
        <v>70000.0</v>
      </c>
      <c r="F226" s="203"/>
      <c r="G226" s="200" t="s">
        <v>597</v>
      </c>
      <c r="H226" s="92"/>
    </row>
    <row r="227">
      <c r="A227" s="206"/>
      <c r="B227" s="195"/>
      <c r="C227" s="71" t="s">
        <v>1062</v>
      </c>
      <c r="D227" s="197"/>
      <c r="E227" s="291">
        <v>100000.0</v>
      </c>
      <c r="F227" s="203"/>
      <c r="G227" s="200" t="s">
        <v>597</v>
      </c>
      <c r="H227" s="92"/>
    </row>
    <row r="228">
      <c r="A228" s="206"/>
      <c r="B228" s="195"/>
      <c r="C228" s="71" t="s">
        <v>1063</v>
      </c>
      <c r="D228" s="197"/>
      <c r="E228" s="291">
        <v>250000.0</v>
      </c>
      <c r="F228" s="203"/>
      <c r="G228" s="200" t="s">
        <v>597</v>
      </c>
      <c r="H228" s="92"/>
    </row>
    <row r="229">
      <c r="A229" s="206"/>
      <c r="B229" s="195">
        <v>45921.0</v>
      </c>
      <c r="C229" s="71" t="s">
        <v>1065</v>
      </c>
      <c r="D229" s="197"/>
      <c r="E229" s="291">
        <v>60000.0</v>
      </c>
      <c r="F229" s="203"/>
      <c r="G229" s="200" t="s">
        <v>1066</v>
      </c>
      <c r="H229" s="208" t="s">
        <v>1067</v>
      </c>
    </row>
    <row r="230">
      <c r="A230" s="206"/>
      <c r="B230" s="195"/>
      <c r="C230" s="71" t="s">
        <v>1068</v>
      </c>
      <c r="D230" s="197" t="s">
        <v>1022</v>
      </c>
      <c r="E230" s="291">
        <v>90000.0</v>
      </c>
      <c r="F230" s="203"/>
      <c r="G230" s="200" t="s">
        <v>1066</v>
      </c>
      <c r="H230" s="208" t="s">
        <v>1069</v>
      </c>
    </row>
    <row r="231">
      <c r="A231" s="206"/>
      <c r="B231" s="195">
        <v>45921.0</v>
      </c>
      <c r="C231" s="71" t="s">
        <v>1070</v>
      </c>
      <c r="D231" s="197"/>
      <c r="E231" s="291">
        <v>20000.0</v>
      </c>
      <c r="F231" s="203"/>
      <c r="G231" s="200" t="s">
        <v>1072</v>
      </c>
      <c r="H231" s="92"/>
    </row>
    <row r="232">
      <c r="A232" s="206"/>
      <c r="B232" s="195">
        <v>45921.0</v>
      </c>
      <c r="C232" s="71" t="s">
        <v>1073</v>
      </c>
      <c r="D232" s="197"/>
      <c r="E232" s="291">
        <v>50000.0</v>
      </c>
      <c r="F232" s="203"/>
      <c r="G232" s="200" t="s">
        <v>1077</v>
      </c>
      <c r="H232" s="208" t="s">
        <v>1078</v>
      </c>
    </row>
    <row r="233">
      <c r="A233" s="206"/>
      <c r="B233" s="195"/>
      <c r="C233" s="71" t="s">
        <v>1068</v>
      </c>
      <c r="D233" s="197" t="s">
        <v>1022</v>
      </c>
      <c r="E233" s="291">
        <v>40000.0</v>
      </c>
      <c r="F233" s="203"/>
      <c r="G233" s="200" t="s">
        <v>1077</v>
      </c>
      <c r="H233" s="92"/>
    </row>
    <row r="234">
      <c r="A234" s="206"/>
      <c r="B234" s="195">
        <v>45923.0</v>
      </c>
      <c r="C234" s="71" t="s">
        <v>1080</v>
      </c>
      <c r="D234" s="197"/>
      <c r="E234" s="291">
        <v>250000.0</v>
      </c>
      <c r="F234" s="203"/>
      <c r="G234" s="200" t="s">
        <v>606</v>
      </c>
      <c r="H234" s="92"/>
    </row>
    <row r="235">
      <c r="A235" s="206"/>
      <c r="B235" s="195"/>
      <c r="C235" s="71" t="s">
        <v>1081</v>
      </c>
      <c r="D235" s="197"/>
      <c r="E235" s="291">
        <v>100000.0</v>
      </c>
      <c r="F235" s="203"/>
      <c r="G235" s="200" t="s">
        <v>606</v>
      </c>
      <c r="H235" s="92"/>
    </row>
    <row r="236">
      <c r="A236" s="206"/>
      <c r="B236" s="299">
        <v>45925.0</v>
      </c>
      <c r="C236" s="217" t="s">
        <v>1083</v>
      </c>
      <c r="D236" s="197"/>
      <c r="E236" s="198">
        <v>150000.0</v>
      </c>
      <c r="F236" s="203"/>
      <c r="G236" s="300" t="s">
        <v>1086</v>
      </c>
      <c r="H236" s="237" t="s">
        <v>1087</v>
      </c>
    </row>
    <row r="237">
      <c r="A237" s="206"/>
      <c r="B237" s="195">
        <v>45926.0</v>
      </c>
      <c r="C237" s="71" t="s">
        <v>1088</v>
      </c>
      <c r="D237" s="197" t="s">
        <v>1089</v>
      </c>
      <c r="E237" s="291">
        <v>130000.0</v>
      </c>
      <c r="F237" s="203"/>
      <c r="G237" s="200" t="s">
        <v>615</v>
      </c>
      <c r="H237" s="92"/>
    </row>
    <row r="238">
      <c r="A238" s="206"/>
      <c r="B238" s="195">
        <v>45926.0</v>
      </c>
      <c r="C238" s="71" t="s">
        <v>1090</v>
      </c>
      <c r="D238" s="197"/>
      <c r="E238" s="291">
        <v>300000.0</v>
      </c>
      <c r="F238" s="203"/>
      <c r="G238" s="200" t="s">
        <v>1093</v>
      </c>
      <c r="H238" s="208" t="s">
        <v>1094</v>
      </c>
    </row>
    <row r="239">
      <c r="A239" s="206"/>
      <c r="B239" s="195">
        <v>45926.0</v>
      </c>
      <c r="C239" s="216" t="s">
        <v>500</v>
      </c>
      <c r="D239" s="197"/>
      <c r="E239" s="291">
        <v>100000.0</v>
      </c>
      <c r="F239" s="203"/>
      <c r="G239" s="200" t="s">
        <v>1095</v>
      </c>
      <c r="H239" s="92"/>
    </row>
    <row r="240">
      <c r="A240" s="245"/>
      <c r="B240" s="246"/>
      <c r="C240" s="247"/>
      <c r="D240" s="248"/>
      <c r="E240" s="249"/>
      <c r="F240" s="249"/>
      <c r="G240" s="251"/>
      <c r="H240" s="252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54"/>
      <c r="X240" s="254"/>
      <c r="Y240" s="254"/>
      <c r="Z240" s="254"/>
      <c r="AA240" s="254"/>
      <c r="AB240" s="254"/>
      <c r="AC240" s="254"/>
      <c r="AD240" s="254"/>
      <c r="AE240" s="254"/>
      <c r="AF240" s="254"/>
      <c r="AG240" s="254"/>
      <c r="AH240" s="254"/>
      <c r="AI240" s="254"/>
      <c r="AJ240" s="254"/>
      <c r="AK240" s="254"/>
      <c r="AL240" s="254"/>
      <c r="AM240" s="254"/>
      <c r="AN240" s="254"/>
      <c r="AO240" s="254"/>
      <c r="AP240" s="254"/>
      <c r="AQ240" s="254"/>
      <c r="AR240" s="254"/>
      <c r="AS240" s="254"/>
      <c r="AT240" s="254"/>
    </row>
    <row r="241">
      <c r="A241" s="302"/>
      <c r="B241" s="303">
        <v>45931.0</v>
      </c>
      <c r="C241" s="229" t="s">
        <v>954</v>
      </c>
      <c r="D241" s="197" t="s">
        <v>1099</v>
      </c>
      <c r="E241" s="304">
        <v>165446.67</v>
      </c>
      <c r="F241" s="203"/>
      <c r="G241" s="200" t="s">
        <v>470</v>
      </c>
      <c r="H241" s="293" t="s">
        <v>1102</v>
      </c>
    </row>
    <row r="242">
      <c r="A242" s="206"/>
      <c r="B242" s="195"/>
      <c r="C242" s="71" t="s">
        <v>1103</v>
      </c>
      <c r="D242" s="197" t="s">
        <v>476</v>
      </c>
      <c r="E242" s="304">
        <v>50000.0</v>
      </c>
      <c r="F242" s="203"/>
      <c r="G242" s="200" t="s">
        <v>582</v>
      </c>
      <c r="H242" s="293" t="s">
        <v>1104</v>
      </c>
    </row>
    <row r="243">
      <c r="A243" s="206"/>
      <c r="B243" s="195">
        <v>45931.0</v>
      </c>
      <c r="C243" s="71" t="s">
        <v>1070</v>
      </c>
      <c r="D243" s="197"/>
      <c r="E243" s="304">
        <v>200000.0</v>
      </c>
      <c r="F243" s="203"/>
      <c r="G243" s="200" t="s">
        <v>1105</v>
      </c>
      <c r="H243" s="293" t="s">
        <v>1106</v>
      </c>
    </row>
    <row r="244">
      <c r="A244" s="206"/>
      <c r="B244" s="195">
        <v>45932.0</v>
      </c>
      <c r="C244" s="71" t="s">
        <v>1107</v>
      </c>
      <c r="D244" s="197"/>
      <c r="E244" s="304">
        <v>100000.0</v>
      </c>
      <c r="F244" s="203"/>
      <c r="G244" s="200" t="s">
        <v>1108</v>
      </c>
      <c r="H244" s="208" t="s">
        <v>1110</v>
      </c>
    </row>
    <row r="245">
      <c r="A245" s="206"/>
      <c r="B245" s="195">
        <v>45934.0</v>
      </c>
      <c r="C245" s="306" t="s">
        <v>1112</v>
      </c>
      <c r="D245" s="197"/>
      <c r="E245" s="257">
        <v>500000.0</v>
      </c>
      <c r="F245" s="203"/>
      <c r="G245" s="200" t="s">
        <v>1113</v>
      </c>
      <c r="H245" s="293" t="s">
        <v>1114</v>
      </c>
    </row>
    <row r="246">
      <c r="A246" s="206"/>
      <c r="C246" s="306" t="s">
        <v>1115</v>
      </c>
      <c r="D246" s="197"/>
      <c r="E246" s="257">
        <v>750000.0</v>
      </c>
      <c r="F246" s="203"/>
      <c r="G246" s="200" t="s">
        <v>1116</v>
      </c>
      <c r="H246" s="293" t="s">
        <v>1117</v>
      </c>
    </row>
    <row r="247">
      <c r="A247" s="206"/>
      <c r="B247" s="195">
        <v>45936.0</v>
      </c>
      <c r="C247" s="71" t="s">
        <v>1118</v>
      </c>
      <c r="D247" s="197"/>
      <c r="E247" s="304">
        <v>150000.0</v>
      </c>
      <c r="F247" s="203"/>
      <c r="G247" s="200" t="s">
        <v>597</v>
      </c>
      <c r="H247" s="208"/>
    </row>
    <row r="248">
      <c r="A248" s="206"/>
      <c r="B248" s="195">
        <v>45937.0</v>
      </c>
      <c r="C248" s="205" t="s">
        <v>1122</v>
      </c>
      <c r="D248" s="197"/>
      <c r="E248" s="259">
        <v>400000.0</v>
      </c>
      <c r="F248" s="203"/>
      <c r="G248" s="200"/>
      <c r="H248" s="92"/>
    </row>
    <row r="249">
      <c r="A249" s="206"/>
      <c r="B249" s="195">
        <v>45937.0</v>
      </c>
      <c r="C249" s="71" t="s">
        <v>1123</v>
      </c>
      <c r="D249" s="197" t="s">
        <v>476</v>
      </c>
      <c r="E249" s="304">
        <v>101603.5</v>
      </c>
      <c r="F249" s="203"/>
      <c r="G249" s="200" t="s">
        <v>470</v>
      </c>
      <c r="H249" s="208"/>
    </row>
    <row r="250">
      <c r="A250" s="206"/>
      <c r="B250" s="195">
        <v>45937.0</v>
      </c>
      <c r="C250" s="310" t="s">
        <v>1125</v>
      </c>
      <c r="D250" s="197" t="s">
        <v>476</v>
      </c>
      <c r="E250" s="304">
        <v>35161.67</v>
      </c>
      <c r="F250" s="203"/>
      <c r="G250" s="200" t="s">
        <v>674</v>
      </c>
      <c r="H250" s="293" t="s">
        <v>1127</v>
      </c>
    </row>
    <row r="251">
      <c r="A251" s="206"/>
      <c r="B251" s="195"/>
      <c r="C251" s="310" t="s">
        <v>1128</v>
      </c>
      <c r="D251" s="197" t="s">
        <v>476</v>
      </c>
      <c r="E251" s="304">
        <v>35161.67</v>
      </c>
      <c r="F251" s="203"/>
      <c r="G251" s="200" t="s">
        <v>674</v>
      </c>
      <c r="H251" s="293" t="s">
        <v>1127</v>
      </c>
    </row>
    <row r="252">
      <c r="A252" s="206"/>
      <c r="B252" s="195">
        <v>45940.0</v>
      </c>
      <c r="C252" s="312" t="s">
        <v>1129</v>
      </c>
      <c r="D252" s="197" t="s">
        <v>1130</v>
      </c>
      <c r="E252" s="304">
        <v>50000.0</v>
      </c>
      <c r="F252" s="203"/>
      <c r="G252" s="200" t="s">
        <v>1131</v>
      </c>
      <c r="H252" s="293" t="s">
        <v>1132</v>
      </c>
    </row>
    <row r="253">
      <c r="A253" s="206"/>
      <c r="B253" s="195"/>
      <c r="C253" s="312" t="s">
        <v>1135</v>
      </c>
      <c r="D253" s="197" t="s">
        <v>449</v>
      </c>
      <c r="E253" s="304">
        <v>50000.0</v>
      </c>
      <c r="F253" s="203"/>
      <c r="G253" s="200" t="s">
        <v>1131</v>
      </c>
      <c r="H253" s="293" t="s">
        <v>1136</v>
      </c>
    </row>
    <row r="254">
      <c r="A254" s="206"/>
      <c r="B254" s="195"/>
      <c r="C254" s="71" t="s">
        <v>1137</v>
      </c>
      <c r="D254" s="197" t="s">
        <v>1138</v>
      </c>
      <c r="E254" s="304">
        <v>40000.0</v>
      </c>
      <c r="F254" s="203"/>
      <c r="G254" s="200" t="s">
        <v>1131</v>
      </c>
      <c r="H254" s="92"/>
    </row>
    <row r="255">
      <c r="A255" s="206"/>
      <c r="B255" s="195"/>
      <c r="C255" s="71" t="s">
        <v>1139</v>
      </c>
      <c r="D255" s="197" t="s">
        <v>1140</v>
      </c>
      <c r="E255" s="304">
        <v>45000.0</v>
      </c>
      <c r="F255" s="203"/>
      <c r="G255" s="200" t="s">
        <v>1131</v>
      </c>
      <c r="H255" s="92"/>
    </row>
    <row r="256">
      <c r="A256" s="206"/>
      <c r="B256" s="195">
        <v>45940.0</v>
      </c>
      <c r="C256" s="71" t="s">
        <v>1141</v>
      </c>
      <c r="D256" s="197"/>
      <c r="E256" s="304">
        <v>80000.0</v>
      </c>
      <c r="F256" s="203"/>
      <c r="G256" s="200" t="s">
        <v>606</v>
      </c>
      <c r="H256" s="92"/>
    </row>
    <row r="257">
      <c r="A257" s="206"/>
      <c r="B257" s="195">
        <v>45940.0</v>
      </c>
      <c r="C257" s="71" t="s">
        <v>1145</v>
      </c>
      <c r="D257" s="197"/>
      <c r="E257" s="304">
        <v>50000.0</v>
      </c>
      <c r="F257" s="203"/>
      <c r="G257" s="200" t="s">
        <v>597</v>
      </c>
      <c r="H257" s="92"/>
    </row>
    <row r="258">
      <c r="A258" s="206"/>
      <c r="B258" s="195"/>
      <c r="C258" s="280" t="s">
        <v>1147</v>
      </c>
      <c r="D258" s="197" t="s">
        <v>1148</v>
      </c>
      <c r="E258" s="304">
        <v>175000.0</v>
      </c>
      <c r="F258" s="203"/>
      <c r="G258" s="200" t="s">
        <v>597</v>
      </c>
      <c r="H258" s="293" t="s">
        <v>1149</v>
      </c>
    </row>
    <row r="259">
      <c r="A259" s="206"/>
      <c r="B259" s="195">
        <v>45940.0</v>
      </c>
      <c r="C259" s="229" t="s">
        <v>954</v>
      </c>
      <c r="D259" s="197" t="s">
        <v>1099</v>
      </c>
      <c r="E259" s="304">
        <v>159350.0</v>
      </c>
      <c r="F259" s="203"/>
      <c r="G259" s="200" t="s">
        <v>470</v>
      </c>
      <c r="H259" s="293" t="s">
        <v>1150</v>
      </c>
    </row>
    <row r="260">
      <c r="A260" s="206"/>
      <c r="B260" s="195"/>
      <c r="C260" s="229" t="s">
        <v>911</v>
      </c>
      <c r="D260" s="197" t="s">
        <v>1099</v>
      </c>
      <c r="E260" s="304">
        <v>159350.0</v>
      </c>
      <c r="F260" s="203"/>
      <c r="G260" s="200" t="s">
        <v>470</v>
      </c>
      <c r="H260" s="293" t="s">
        <v>1151</v>
      </c>
    </row>
    <row r="261">
      <c r="A261" s="206"/>
      <c r="B261" s="195">
        <v>45941.0</v>
      </c>
      <c r="C261" s="71" t="s">
        <v>1123</v>
      </c>
      <c r="D261" s="197" t="s">
        <v>476</v>
      </c>
      <c r="E261" s="304">
        <v>101603.5</v>
      </c>
      <c r="F261" s="203"/>
      <c r="G261" s="200" t="s">
        <v>470</v>
      </c>
      <c r="H261" s="208"/>
    </row>
    <row r="262">
      <c r="A262" s="206"/>
      <c r="B262" s="195">
        <v>45941.0</v>
      </c>
      <c r="C262" s="71" t="s">
        <v>1152</v>
      </c>
      <c r="D262" s="197" t="s">
        <v>993</v>
      </c>
      <c r="E262" s="304">
        <v>90000.0</v>
      </c>
      <c r="F262" s="203"/>
      <c r="G262" s="200" t="s">
        <v>1153</v>
      </c>
      <c r="H262" s="208"/>
    </row>
    <row r="263">
      <c r="A263" s="206"/>
      <c r="B263" s="195">
        <v>45941.0</v>
      </c>
      <c r="C263" s="71" t="s">
        <v>640</v>
      </c>
      <c r="D263" s="197" t="s">
        <v>659</v>
      </c>
      <c r="E263" s="304">
        <v>35000.0</v>
      </c>
      <c r="F263" s="203"/>
      <c r="G263" s="200" t="s">
        <v>619</v>
      </c>
      <c r="H263" s="92"/>
    </row>
    <row r="264">
      <c r="A264" s="206"/>
      <c r="B264" s="195"/>
      <c r="C264" s="71" t="s">
        <v>1156</v>
      </c>
      <c r="D264" s="197"/>
      <c r="E264" s="304">
        <v>100000.0</v>
      </c>
      <c r="F264" s="203"/>
      <c r="G264" s="200" t="s">
        <v>619</v>
      </c>
      <c r="H264" s="208" t="s">
        <v>1158</v>
      </c>
    </row>
    <row r="265">
      <c r="A265" s="206"/>
      <c r="B265" s="195">
        <v>45942.0</v>
      </c>
      <c r="C265" s="71" t="s">
        <v>1162</v>
      </c>
      <c r="D265" s="197" t="s">
        <v>1163</v>
      </c>
      <c r="E265" s="304">
        <v>30000.0</v>
      </c>
      <c r="F265" s="203"/>
      <c r="G265" s="200" t="s">
        <v>619</v>
      </c>
      <c r="H265" s="92"/>
    </row>
    <row r="266">
      <c r="A266" s="206"/>
      <c r="B266" s="195">
        <v>45943.0</v>
      </c>
      <c r="C266" s="205" t="s">
        <v>1165</v>
      </c>
      <c r="D266" s="197"/>
      <c r="E266" s="259">
        <v>166500.0</v>
      </c>
      <c r="F266" s="203"/>
      <c r="G266" s="204"/>
      <c r="H266" s="92"/>
    </row>
    <row r="267">
      <c r="A267" s="206"/>
      <c r="B267" s="195">
        <v>45943.0</v>
      </c>
      <c r="C267" s="312" t="s">
        <v>954</v>
      </c>
      <c r="D267" s="197" t="s">
        <v>1099</v>
      </c>
      <c r="E267" s="304">
        <v>159350.0</v>
      </c>
      <c r="F267" s="203"/>
      <c r="G267" s="200" t="s">
        <v>470</v>
      </c>
      <c r="H267" s="293" t="s">
        <v>1166</v>
      </c>
    </row>
    <row r="268">
      <c r="A268" s="206"/>
      <c r="B268" s="195"/>
      <c r="C268" s="312" t="s">
        <v>911</v>
      </c>
      <c r="D268" s="197" t="s">
        <v>1099</v>
      </c>
      <c r="E268" s="304">
        <v>159350.0</v>
      </c>
      <c r="F268" s="203"/>
      <c r="G268" s="200" t="s">
        <v>470</v>
      </c>
      <c r="H268" s="293" t="s">
        <v>1167</v>
      </c>
    </row>
    <row r="269">
      <c r="A269" s="206"/>
      <c r="B269" s="195">
        <v>45944.0</v>
      </c>
      <c r="C269" s="205" t="s">
        <v>1168</v>
      </c>
      <c r="D269" s="197"/>
      <c r="E269" s="259">
        <v>122100.0</v>
      </c>
      <c r="F269" s="203"/>
      <c r="G269" s="204"/>
      <c r="H269" s="92"/>
    </row>
    <row r="270">
      <c r="A270" s="206"/>
      <c r="B270" s="195">
        <v>45945.0</v>
      </c>
      <c r="C270" s="71" t="s">
        <v>1169</v>
      </c>
      <c r="D270" s="197" t="s">
        <v>1022</v>
      </c>
      <c r="E270" s="304">
        <v>20000.0</v>
      </c>
      <c r="F270" s="203"/>
      <c r="G270" s="200" t="s">
        <v>619</v>
      </c>
      <c r="H270" s="92"/>
    </row>
    <row r="271">
      <c r="A271" s="219"/>
      <c r="B271" s="220"/>
      <c r="C271" s="275" t="s">
        <v>1172</v>
      </c>
      <c r="D271" s="197" t="s">
        <v>1022</v>
      </c>
      <c r="E271" s="315">
        <v>10000.0</v>
      </c>
      <c r="F271" s="225"/>
      <c r="G271" s="226" t="s">
        <v>619</v>
      </c>
      <c r="H271" s="22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</row>
    <row r="272">
      <c r="A272" s="219"/>
      <c r="B272" s="220"/>
      <c r="C272" s="275" t="s">
        <v>1175</v>
      </c>
      <c r="D272" s="197" t="s">
        <v>1018</v>
      </c>
      <c r="E272" s="315">
        <v>50000.0</v>
      </c>
      <c r="F272" s="225"/>
      <c r="G272" s="226" t="s">
        <v>619</v>
      </c>
      <c r="H272" s="22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</row>
    <row r="273">
      <c r="A273" s="206"/>
      <c r="B273" s="195"/>
      <c r="C273" s="71" t="s">
        <v>1179</v>
      </c>
      <c r="D273" s="197" t="s">
        <v>1022</v>
      </c>
      <c r="E273" s="304">
        <v>50000.0</v>
      </c>
      <c r="F273" s="203"/>
      <c r="G273" s="200" t="s">
        <v>619</v>
      </c>
      <c r="H273" s="208" t="s">
        <v>1180</v>
      </c>
    </row>
    <row r="274">
      <c r="A274" s="206"/>
      <c r="B274" s="195">
        <v>45946.0</v>
      </c>
      <c r="C274" s="71" t="s">
        <v>1181</v>
      </c>
      <c r="D274" s="197" t="s">
        <v>1022</v>
      </c>
      <c r="E274" s="304">
        <v>45000.0</v>
      </c>
      <c r="F274" s="203"/>
      <c r="G274" s="200" t="s">
        <v>619</v>
      </c>
      <c r="H274" s="208" t="s">
        <v>1183</v>
      </c>
    </row>
    <row r="275">
      <c r="A275" s="219"/>
      <c r="B275" s="316"/>
      <c r="C275" s="275" t="s">
        <v>631</v>
      </c>
      <c r="D275" s="223" t="s">
        <v>1022</v>
      </c>
      <c r="E275" s="315">
        <v>15000.0</v>
      </c>
      <c r="F275" s="225"/>
      <c r="G275" s="226" t="s">
        <v>619</v>
      </c>
      <c r="H275" s="22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</row>
    <row r="276">
      <c r="A276" s="219"/>
      <c r="B276" s="316"/>
      <c r="C276" s="275" t="s">
        <v>634</v>
      </c>
      <c r="D276" s="317" t="s">
        <v>554</v>
      </c>
      <c r="E276" s="315">
        <v>14000.0</v>
      </c>
      <c r="F276" s="225"/>
      <c r="G276" s="226" t="s">
        <v>619</v>
      </c>
      <c r="H276" s="22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</row>
    <row r="277">
      <c r="A277" s="219"/>
      <c r="B277" s="316"/>
      <c r="C277" s="275" t="s">
        <v>1191</v>
      </c>
      <c r="D277" s="317" t="s">
        <v>1099</v>
      </c>
      <c r="E277" s="315">
        <v>7000.0</v>
      </c>
      <c r="F277" s="225"/>
      <c r="G277" s="226" t="s">
        <v>619</v>
      </c>
      <c r="H277" s="22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</row>
    <row r="278">
      <c r="A278" s="318"/>
      <c r="B278" s="316"/>
      <c r="C278" s="319" t="s">
        <v>1192</v>
      </c>
      <c r="D278" s="320"/>
      <c r="E278" s="321">
        <v>100000.0</v>
      </c>
      <c r="F278" s="322"/>
      <c r="G278" s="323" t="s">
        <v>619</v>
      </c>
      <c r="H278" s="324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</row>
    <row r="279">
      <c r="A279" s="206"/>
      <c r="B279" s="195">
        <v>45948.0</v>
      </c>
      <c r="C279" s="71" t="s">
        <v>1199</v>
      </c>
      <c r="D279" s="197" t="s">
        <v>1200</v>
      </c>
      <c r="E279" s="304">
        <v>170000.0</v>
      </c>
      <c r="F279" s="203"/>
      <c r="G279" s="200" t="s">
        <v>619</v>
      </c>
      <c r="H279" s="325" t="s">
        <v>1203</v>
      </c>
    </row>
    <row r="280">
      <c r="A280" s="206"/>
      <c r="B280" s="316"/>
      <c r="C280" s="71" t="s">
        <v>1204</v>
      </c>
      <c r="D280" s="197"/>
      <c r="E280" s="304">
        <v>150000.0</v>
      </c>
      <c r="F280" s="203"/>
      <c r="G280" s="200" t="s">
        <v>619</v>
      </c>
      <c r="H280" s="208"/>
    </row>
    <row r="281">
      <c r="A281" s="206"/>
      <c r="B281" s="195">
        <v>45950.0</v>
      </c>
      <c r="C281" s="71" t="s">
        <v>1205</v>
      </c>
      <c r="D281" s="197" t="s">
        <v>476</v>
      </c>
      <c r="E281" s="304">
        <v>40000.0</v>
      </c>
      <c r="F281" s="203"/>
      <c r="G281" s="200" t="s">
        <v>1206</v>
      </c>
      <c r="H281" s="325" t="s">
        <v>1207</v>
      </c>
    </row>
    <row r="282">
      <c r="A282" s="206"/>
      <c r="B282" s="195">
        <v>45951.0</v>
      </c>
      <c r="C282" s="211" t="s">
        <v>1208</v>
      </c>
      <c r="D282" s="197" t="s">
        <v>476</v>
      </c>
      <c r="E282" s="304">
        <v>3840000.0</v>
      </c>
      <c r="F282" s="203"/>
      <c r="G282" s="200" t="s">
        <v>1209</v>
      </c>
      <c r="H282" s="325" t="s">
        <v>1210</v>
      </c>
    </row>
    <row r="283">
      <c r="A283" s="326"/>
      <c r="B283" s="316"/>
      <c r="C283" s="327" t="s">
        <v>1211</v>
      </c>
      <c r="D283" s="328"/>
      <c r="E283" s="329">
        <v>50000.0</v>
      </c>
      <c r="F283" s="330"/>
      <c r="G283" s="331" t="s">
        <v>1213</v>
      </c>
      <c r="H283" s="332" t="s">
        <v>1214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</row>
    <row r="284">
      <c r="A284" s="206"/>
      <c r="B284" s="195">
        <v>45952.0</v>
      </c>
      <c r="C284" s="71" t="s">
        <v>717</v>
      </c>
      <c r="D284" s="197" t="s">
        <v>449</v>
      </c>
      <c r="E284" s="304">
        <v>60000.0</v>
      </c>
      <c r="F284" s="203"/>
      <c r="G284" s="200" t="s">
        <v>1209</v>
      </c>
      <c r="H284" s="325" t="s">
        <v>1218</v>
      </c>
    </row>
    <row r="285">
      <c r="A285" s="219"/>
      <c r="B285" s="220"/>
      <c r="C285" s="275" t="s">
        <v>1039</v>
      </c>
      <c r="D285" s="223" t="s">
        <v>476</v>
      </c>
      <c r="E285" s="315">
        <v>30000.0</v>
      </c>
      <c r="F285" s="225"/>
      <c r="G285" s="333" t="s">
        <v>1209</v>
      </c>
      <c r="H285" s="332" t="s">
        <v>1219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</row>
    <row r="286">
      <c r="A286" s="206"/>
      <c r="B286" s="195">
        <v>45953.0</v>
      </c>
      <c r="C286" s="211" t="s">
        <v>1220</v>
      </c>
      <c r="D286" s="197" t="s">
        <v>476</v>
      </c>
      <c r="E286" s="304">
        <v>4275000.0</v>
      </c>
      <c r="F286" s="203"/>
      <c r="G286" s="200" t="s">
        <v>1209</v>
      </c>
      <c r="H286" s="332" t="s">
        <v>1221</v>
      </c>
    </row>
    <row r="287">
      <c r="A287" s="326"/>
      <c r="B287" s="316"/>
      <c r="C287" s="327" t="s">
        <v>1224</v>
      </c>
      <c r="D287" s="197" t="s">
        <v>476</v>
      </c>
      <c r="E287" s="329">
        <v>25000.0</v>
      </c>
      <c r="F287" s="330"/>
      <c r="G287" s="200" t="s">
        <v>1209</v>
      </c>
      <c r="H287" s="92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</row>
    <row r="288">
      <c r="A288" s="326"/>
      <c r="B288" s="316"/>
      <c r="C288" s="327" t="s">
        <v>1227</v>
      </c>
      <c r="D288" s="334" t="s">
        <v>1228</v>
      </c>
      <c r="E288" s="329">
        <v>110000.0</v>
      </c>
      <c r="F288" s="330"/>
      <c r="G288" s="331" t="s">
        <v>1229</v>
      </c>
      <c r="H288" s="332" t="s">
        <v>1230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</row>
    <row r="289">
      <c r="A289" s="326"/>
      <c r="B289" s="316"/>
      <c r="C289" s="327" t="s">
        <v>1231</v>
      </c>
      <c r="D289" s="334" t="s">
        <v>1228</v>
      </c>
      <c r="E289" s="329">
        <v>150000.0</v>
      </c>
      <c r="F289" s="330"/>
      <c r="G289" s="331" t="s">
        <v>1233</v>
      </c>
      <c r="H289" s="332" t="s">
        <v>1234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</row>
    <row r="290">
      <c r="A290" s="206"/>
      <c r="B290" s="195">
        <v>45955.0</v>
      </c>
      <c r="C290" s="295" t="s">
        <v>1236</v>
      </c>
      <c r="D290" s="197" t="s">
        <v>476</v>
      </c>
      <c r="E290" s="296">
        <v>2000000.0</v>
      </c>
      <c r="F290" s="203"/>
      <c r="G290" s="200" t="s">
        <v>1131</v>
      </c>
      <c r="H290" s="335" t="s">
        <v>1237</v>
      </c>
    </row>
    <row r="291">
      <c r="A291" s="206"/>
      <c r="B291" s="195"/>
      <c r="C291" s="211" t="s">
        <v>1238</v>
      </c>
      <c r="D291" s="197" t="s">
        <v>476</v>
      </c>
      <c r="E291" s="304">
        <v>900000.0</v>
      </c>
      <c r="F291" s="203"/>
      <c r="G291" s="200" t="s">
        <v>1131</v>
      </c>
      <c r="H291" s="335" t="s">
        <v>1240</v>
      </c>
    </row>
    <row r="292">
      <c r="A292" s="206"/>
      <c r="B292" s="299">
        <v>45955.0</v>
      </c>
      <c r="C292" s="217" t="s">
        <v>1241</v>
      </c>
      <c r="D292" s="197"/>
      <c r="E292" s="198">
        <v>150000.0</v>
      </c>
      <c r="F292" s="203"/>
      <c r="G292" s="300" t="s">
        <v>1086</v>
      </c>
      <c r="H292" s="237" t="s">
        <v>1087</v>
      </c>
    </row>
    <row r="293">
      <c r="A293" s="206"/>
      <c r="B293" s="195">
        <v>45955.0</v>
      </c>
      <c r="C293" s="71" t="s">
        <v>1242</v>
      </c>
      <c r="D293" s="197" t="s">
        <v>449</v>
      </c>
      <c r="E293" s="304">
        <v>180000.0</v>
      </c>
      <c r="F293" s="203"/>
      <c r="G293" s="200" t="s">
        <v>597</v>
      </c>
      <c r="H293" s="332"/>
    </row>
    <row r="294">
      <c r="A294" s="206"/>
      <c r="B294" s="195"/>
      <c r="C294" s="71" t="s">
        <v>1244</v>
      </c>
      <c r="D294" s="197"/>
      <c r="E294" s="304">
        <v>50000.0</v>
      </c>
      <c r="F294" s="203"/>
      <c r="G294" s="200" t="s">
        <v>597</v>
      </c>
      <c r="H294" s="332"/>
    </row>
    <row r="295">
      <c r="A295" s="206"/>
      <c r="B295" s="195"/>
      <c r="C295" s="71" t="s">
        <v>1245</v>
      </c>
      <c r="D295" s="197" t="s">
        <v>449</v>
      </c>
      <c r="E295" s="304">
        <v>40000.0</v>
      </c>
      <c r="F295" s="203"/>
      <c r="G295" s="200" t="s">
        <v>597</v>
      </c>
      <c r="H295" s="332"/>
    </row>
    <row r="296">
      <c r="A296" s="206"/>
      <c r="B296" s="195"/>
      <c r="C296" s="71" t="s">
        <v>824</v>
      </c>
      <c r="D296" s="197" t="s">
        <v>476</v>
      </c>
      <c r="E296" s="304">
        <v>70000.0</v>
      </c>
      <c r="F296" s="203"/>
      <c r="G296" s="200" t="s">
        <v>597</v>
      </c>
      <c r="H296" s="332"/>
    </row>
    <row r="297">
      <c r="A297" s="206"/>
      <c r="B297" s="195"/>
      <c r="C297" s="71" t="s">
        <v>1247</v>
      </c>
      <c r="D297" s="197" t="s">
        <v>476</v>
      </c>
      <c r="E297" s="304">
        <v>50000.0</v>
      </c>
      <c r="F297" s="203"/>
      <c r="G297" s="200" t="s">
        <v>597</v>
      </c>
      <c r="H297" s="332"/>
    </row>
    <row r="298">
      <c r="A298" s="206"/>
      <c r="B298" s="195"/>
      <c r="C298" s="71" t="s">
        <v>1249</v>
      </c>
      <c r="D298" s="197" t="s">
        <v>476</v>
      </c>
      <c r="E298" s="304">
        <v>70000.0</v>
      </c>
      <c r="F298" s="203"/>
      <c r="G298" s="200" t="s">
        <v>597</v>
      </c>
      <c r="H298" s="332"/>
    </row>
    <row r="299">
      <c r="A299" s="206"/>
      <c r="B299" s="195"/>
      <c r="C299" s="71" t="s">
        <v>1250</v>
      </c>
      <c r="D299" s="197" t="s">
        <v>482</v>
      </c>
      <c r="E299" s="304">
        <v>180000.0</v>
      </c>
      <c r="F299" s="203"/>
      <c r="G299" s="200" t="s">
        <v>597</v>
      </c>
      <c r="H299" s="332"/>
    </row>
    <row r="300">
      <c r="A300" s="206"/>
      <c r="B300" s="195"/>
      <c r="C300" s="71" t="s">
        <v>1253</v>
      </c>
      <c r="D300" s="197" t="s">
        <v>476</v>
      </c>
      <c r="E300" s="304">
        <v>200000.0</v>
      </c>
      <c r="F300" s="203"/>
      <c r="G300" s="200" t="s">
        <v>597</v>
      </c>
      <c r="H300" s="332" t="s">
        <v>1254</v>
      </c>
    </row>
    <row r="301">
      <c r="A301" s="206"/>
      <c r="B301" s="195"/>
      <c r="C301" s="71" t="s">
        <v>1255</v>
      </c>
      <c r="D301" s="197" t="s">
        <v>476</v>
      </c>
      <c r="E301" s="304">
        <v>200000.0</v>
      </c>
      <c r="F301" s="203"/>
      <c r="G301" s="200" t="s">
        <v>597</v>
      </c>
      <c r="H301" s="332" t="s">
        <v>1256</v>
      </c>
    </row>
    <row r="302">
      <c r="A302" s="206"/>
      <c r="B302" s="195"/>
      <c r="C302" s="71" t="s">
        <v>1257</v>
      </c>
      <c r="D302" s="197" t="s">
        <v>1148</v>
      </c>
      <c r="E302" s="304">
        <v>190000.0</v>
      </c>
      <c r="F302" s="203"/>
      <c r="G302" s="200" t="s">
        <v>597</v>
      </c>
      <c r="H302" s="332"/>
    </row>
    <row r="303">
      <c r="A303" s="206"/>
      <c r="B303" s="195">
        <v>45958.0</v>
      </c>
      <c r="C303" s="71" t="s">
        <v>1258</v>
      </c>
      <c r="D303" s="197" t="s">
        <v>476</v>
      </c>
      <c r="E303" s="304">
        <v>50000.0</v>
      </c>
      <c r="F303" s="203"/>
      <c r="G303" s="200" t="s">
        <v>1259</v>
      </c>
      <c r="H303" s="325"/>
    </row>
    <row r="304">
      <c r="A304" s="206"/>
      <c r="B304" s="195">
        <v>45961.0</v>
      </c>
      <c r="C304" s="283" t="s">
        <v>1260</v>
      </c>
      <c r="D304" s="197"/>
      <c r="E304" s="304">
        <v>50000.0</v>
      </c>
      <c r="F304" s="203"/>
      <c r="G304" s="200" t="s">
        <v>1261</v>
      </c>
      <c r="H304" s="337" t="s">
        <v>1262</v>
      </c>
    </row>
    <row r="305">
      <c r="A305" s="245"/>
      <c r="B305" s="246"/>
      <c r="C305" s="247"/>
      <c r="D305" s="248"/>
      <c r="E305" s="249"/>
      <c r="F305" s="249"/>
      <c r="G305" s="251"/>
      <c r="H305" s="338"/>
      <c r="I305" s="254"/>
      <c r="J305" s="254"/>
      <c r="K305" s="254"/>
      <c r="L305" s="254"/>
      <c r="M305" s="254"/>
      <c r="N305" s="254"/>
      <c r="O305" s="254"/>
      <c r="P305" s="254"/>
      <c r="Q305" s="254"/>
      <c r="R305" s="254"/>
      <c r="S305" s="254"/>
      <c r="T305" s="254"/>
      <c r="U305" s="254"/>
      <c r="V305" s="254"/>
      <c r="W305" s="254"/>
      <c r="X305" s="254"/>
      <c r="Y305" s="254"/>
      <c r="Z305" s="254"/>
      <c r="AA305" s="254"/>
      <c r="AB305" s="254"/>
      <c r="AC305" s="254"/>
      <c r="AD305" s="254"/>
      <c r="AE305" s="254"/>
      <c r="AF305" s="254"/>
      <c r="AG305" s="254"/>
      <c r="AH305" s="254"/>
      <c r="AI305" s="254"/>
      <c r="AJ305" s="254"/>
      <c r="AK305" s="254"/>
      <c r="AL305" s="254"/>
      <c r="AM305" s="254"/>
      <c r="AN305" s="254"/>
      <c r="AO305" s="254"/>
      <c r="AP305" s="254"/>
      <c r="AQ305" s="254"/>
      <c r="AR305" s="254"/>
      <c r="AS305" s="254"/>
      <c r="AT305" s="254"/>
    </row>
    <row r="306">
      <c r="A306" s="339"/>
      <c r="B306" s="340">
        <v>45963.0</v>
      </c>
      <c r="C306" s="71" t="s">
        <v>1267</v>
      </c>
      <c r="D306" s="197"/>
      <c r="E306" s="341">
        <v>50000.0</v>
      </c>
      <c r="F306" s="203"/>
      <c r="G306" s="200" t="s">
        <v>1268</v>
      </c>
      <c r="H306" s="325"/>
    </row>
    <row r="307">
      <c r="A307" s="219"/>
      <c r="B307" s="273">
        <v>45968.0</v>
      </c>
      <c r="C307" s="342" t="s">
        <v>1270</v>
      </c>
      <c r="D307" s="225"/>
      <c r="E307" s="343">
        <v>400000.0</v>
      </c>
      <c r="F307" s="225"/>
      <c r="G307" s="344"/>
      <c r="H307" s="344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</row>
    <row r="308">
      <c r="A308" s="326"/>
      <c r="B308" s="195">
        <v>45964.0</v>
      </c>
      <c r="C308" s="280" t="s">
        <v>847</v>
      </c>
      <c r="D308" s="334" t="s">
        <v>476</v>
      </c>
      <c r="E308" s="345">
        <v>425000.0</v>
      </c>
      <c r="F308" s="330"/>
      <c r="G308" s="200" t="s">
        <v>582</v>
      </c>
      <c r="H308" s="346" t="s">
        <v>1275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</row>
    <row r="309">
      <c r="A309" s="326"/>
      <c r="B309" s="316"/>
      <c r="C309" s="280" t="s">
        <v>1276</v>
      </c>
      <c r="D309" s="334" t="s">
        <v>476</v>
      </c>
      <c r="E309" s="345">
        <v>185000.0</v>
      </c>
      <c r="F309" s="330"/>
      <c r="G309" s="200" t="s">
        <v>582</v>
      </c>
      <c r="H309" s="34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</row>
    <row r="310">
      <c r="A310" s="326"/>
      <c r="B310" s="316"/>
      <c r="C310" s="280" t="s">
        <v>1279</v>
      </c>
      <c r="D310" s="334" t="s">
        <v>476</v>
      </c>
      <c r="E310" s="345">
        <v>50000.0</v>
      </c>
      <c r="F310" s="330"/>
      <c r="G310" s="200" t="s">
        <v>582</v>
      </c>
      <c r="H310" s="34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</row>
    <row r="311">
      <c r="A311" s="326"/>
      <c r="B311" s="316"/>
      <c r="C311" s="280" t="s">
        <v>1283</v>
      </c>
      <c r="D311" s="334" t="s">
        <v>476</v>
      </c>
      <c r="E311" s="345">
        <v>185000.0</v>
      </c>
      <c r="F311" s="330"/>
      <c r="G311" s="200" t="s">
        <v>582</v>
      </c>
      <c r="H311" s="34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</row>
    <row r="312">
      <c r="A312" s="326"/>
      <c r="B312" s="351"/>
      <c r="C312" s="352" t="s">
        <v>1287</v>
      </c>
      <c r="D312" s="334" t="s">
        <v>476</v>
      </c>
      <c r="E312" s="345">
        <v>50000.0</v>
      </c>
      <c r="F312" s="330"/>
      <c r="G312" s="200" t="s">
        <v>582</v>
      </c>
      <c r="H312" s="346" t="s">
        <v>1288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</row>
    <row r="313">
      <c r="A313" s="326"/>
      <c r="B313" s="351"/>
      <c r="C313" s="352" t="s">
        <v>1289</v>
      </c>
      <c r="D313" s="334" t="s">
        <v>476</v>
      </c>
      <c r="E313" s="345">
        <v>165000.0</v>
      </c>
      <c r="F313" s="330"/>
      <c r="G313" s="200" t="s">
        <v>582</v>
      </c>
      <c r="H313" s="346" t="s">
        <v>1292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</row>
    <row r="314">
      <c r="A314" s="326"/>
      <c r="B314" s="351"/>
      <c r="C314" s="327" t="s">
        <v>1294</v>
      </c>
      <c r="D314" s="334" t="s">
        <v>476</v>
      </c>
      <c r="E314" s="345">
        <v>65000.0</v>
      </c>
      <c r="F314" s="330"/>
      <c r="G314" s="200" t="s">
        <v>582</v>
      </c>
      <c r="H314" s="332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</row>
    <row r="315">
      <c r="A315" s="206"/>
      <c r="B315" s="195">
        <v>45971.0</v>
      </c>
      <c r="C315" s="205" t="s">
        <v>1298</v>
      </c>
      <c r="D315" s="197"/>
      <c r="E315" s="259">
        <v>122100.0</v>
      </c>
      <c r="F315" s="203"/>
      <c r="G315" s="204"/>
      <c r="H315" s="92"/>
    </row>
    <row r="316">
      <c r="A316" s="206"/>
      <c r="B316" s="195">
        <v>45971.0</v>
      </c>
      <c r="C316" s="205" t="s">
        <v>1300</v>
      </c>
      <c r="D316" s="197"/>
      <c r="E316" s="259">
        <v>166500.0</v>
      </c>
      <c r="F316" s="203"/>
      <c r="G316" s="204"/>
      <c r="H316" s="92"/>
    </row>
    <row r="317">
      <c r="A317" s="206"/>
      <c r="B317" s="195">
        <v>45971.0</v>
      </c>
      <c r="C317" s="216" t="s">
        <v>500</v>
      </c>
      <c r="D317" s="197"/>
      <c r="E317" s="341">
        <v>70000.0</v>
      </c>
      <c r="F317" s="203"/>
      <c r="G317" s="200" t="s">
        <v>1301</v>
      </c>
      <c r="H317" s="325"/>
    </row>
    <row r="318">
      <c r="A318" s="326"/>
      <c r="B318" s="316"/>
      <c r="C318" s="366" t="s">
        <v>1305</v>
      </c>
      <c r="D318" s="334" t="s">
        <v>449</v>
      </c>
      <c r="E318" s="345">
        <v>40000.0</v>
      </c>
      <c r="F318" s="330"/>
      <c r="G318" s="200" t="s">
        <v>1307</v>
      </c>
      <c r="H318" s="34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</row>
    <row r="319">
      <c r="A319" s="326"/>
      <c r="B319" s="316"/>
      <c r="C319" s="366" t="s">
        <v>587</v>
      </c>
      <c r="D319" s="328"/>
      <c r="E319" s="345">
        <v>50000.0</v>
      </c>
      <c r="F319" s="330"/>
      <c r="G319" s="200" t="s">
        <v>1301</v>
      </c>
      <c r="H319" s="34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</row>
    <row r="320">
      <c r="A320" s="326"/>
      <c r="B320" s="195">
        <v>45971.0</v>
      </c>
      <c r="C320" s="369" t="s">
        <v>1318</v>
      </c>
      <c r="D320" s="328"/>
      <c r="E320" s="345">
        <v>30000.0</v>
      </c>
      <c r="F320" s="330"/>
      <c r="G320" s="200" t="s">
        <v>597</v>
      </c>
      <c r="H320" s="34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</row>
    <row r="321">
      <c r="A321" s="326"/>
      <c r="B321" s="195"/>
      <c r="C321" s="369" t="s">
        <v>1324</v>
      </c>
      <c r="D321" s="328"/>
      <c r="E321" s="345">
        <v>15000.0</v>
      </c>
      <c r="F321" s="330"/>
      <c r="G321" s="200" t="s">
        <v>597</v>
      </c>
      <c r="H321" s="34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</row>
    <row r="322">
      <c r="A322" s="206"/>
      <c r="B322" s="195">
        <v>45972.0</v>
      </c>
      <c r="C322" s="71" t="s">
        <v>1329</v>
      </c>
      <c r="D322" s="197" t="s">
        <v>1018</v>
      </c>
      <c r="E322" s="341">
        <v>96339.0</v>
      </c>
      <c r="F322" s="203"/>
      <c r="G322" s="200" t="s">
        <v>470</v>
      </c>
      <c r="H322" s="325" t="s">
        <v>1331</v>
      </c>
    </row>
    <row r="323">
      <c r="A323" s="326"/>
      <c r="B323" s="316"/>
      <c r="C323" s="327" t="s">
        <v>1332</v>
      </c>
      <c r="D323" s="334" t="s">
        <v>1334</v>
      </c>
      <c r="E323" s="345">
        <v>50000.0</v>
      </c>
      <c r="F323" s="330"/>
      <c r="G323" s="373" t="s">
        <v>619</v>
      </c>
      <c r="H323" s="34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</row>
    <row r="324">
      <c r="A324" s="326"/>
      <c r="B324" s="316"/>
      <c r="C324" s="327" t="s">
        <v>1338</v>
      </c>
      <c r="D324" s="334" t="s">
        <v>476</v>
      </c>
      <c r="E324" s="345">
        <v>80000.0</v>
      </c>
      <c r="F324" s="330"/>
      <c r="G324" s="373" t="s">
        <v>619</v>
      </c>
      <c r="H324" s="332" t="s">
        <v>1341</v>
      </c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</row>
    <row r="325">
      <c r="A325" s="326"/>
      <c r="B325" s="316"/>
      <c r="C325" s="327" t="s">
        <v>1344</v>
      </c>
      <c r="D325" s="334" t="s">
        <v>476</v>
      </c>
      <c r="E325" s="345">
        <v>15000.0</v>
      </c>
      <c r="F325" s="330"/>
      <c r="G325" s="373" t="s">
        <v>619</v>
      </c>
      <c r="H325" s="34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</row>
    <row r="326">
      <c r="A326" s="326"/>
      <c r="B326" s="316"/>
      <c r="C326" s="327" t="s">
        <v>1347</v>
      </c>
      <c r="D326" s="334" t="s">
        <v>449</v>
      </c>
      <c r="E326" s="345">
        <v>14000.0</v>
      </c>
      <c r="F326" s="330"/>
      <c r="G326" s="373" t="s">
        <v>619</v>
      </c>
      <c r="H326" s="34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</row>
    <row r="327">
      <c r="A327" s="326"/>
      <c r="B327" s="316"/>
      <c r="C327" s="327" t="s">
        <v>1351</v>
      </c>
      <c r="D327" s="328"/>
      <c r="E327" s="345">
        <v>150000.0</v>
      </c>
      <c r="F327" s="330"/>
      <c r="G327" s="373" t="s">
        <v>619</v>
      </c>
      <c r="H327" s="34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</row>
    <row r="328">
      <c r="A328" s="326"/>
      <c r="B328" s="316"/>
      <c r="C328" s="327" t="s">
        <v>1354</v>
      </c>
      <c r="D328" s="328"/>
      <c r="E328" s="345">
        <v>50000.0</v>
      </c>
      <c r="F328" s="330"/>
      <c r="G328" s="373" t="s">
        <v>619</v>
      </c>
      <c r="H328" s="34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</row>
    <row r="329">
      <c r="A329" s="326"/>
      <c r="B329" s="195">
        <v>45975.0</v>
      </c>
      <c r="C329" s="327" t="s">
        <v>1356</v>
      </c>
      <c r="D329" s="334" t="s">
        <v>1357</v>
      </c>
      <c r="E329" s="345">
        <v>20000.0</v>
      </c>
      <c r="F329" s="330"/>
      <c r="G329" s="331" t="s">
        <v>799</v>
      </c>
      <c r="H329" s="332" t="s">
        <v>1359</v>
      </c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</row>
    <row r="330">
      <c r="A330" s="326"/>
      <c r="B330" s="316"/>
      <c r="C330" s="327" t="s">
        <v>1361</v>
      </c>
      <c r="D330" s="328"/>
      <c r="E330" s="345">
        <v>25000.0</v>
      </c>
      <c r="F330" s="330"/>
      <c r="G330" s="331" t="s">
        <v>799</v>
      </c>
      <c r="H330" s="34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</row>
    <row r="331">
      <c r="A331" s="326"/>
      <c r="B331" s="316"/>
      <c r="C331" s="327" t="s">
        <v>1363</v>
      </c>
      <c r="D331" s="334" t="s">
        <v>1011</v>
      </c>
      <c r="E331" s="345">
        <v>50000.0</v>
      </c>
      <c r="F331" s="330"/>
      <c r="G331" s="331" t="s">
        <v>799</v>
      </c>
      <c r="H331" s="34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</row>
    <row r="332">
      <c r="A332" s="326"/>
      <c r="B332" s="195">
        <v>45975.0</v>
      </c>
      <c r="C332" s="327" t="s">
        <v>1375</v>
      </c>
      <c r="D332" s="334" t="s">
        <v>476</v>
      </c>
      <c r="E332" s="345">
        <v>250000.0</v>
      </c>
      <c r="F332" s="330"/>
      <c r="G332" s="200" t="s">
        <v>483</v>
      </c>
      <c r="H332" s="332" t="s">
        <v>1378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</row>
    <row r="333">
      <c r="A333" s="326"/>
      <c r="B333" s="195">
        <v>45975.0</v>
      </c>
      <c r="C333" s="327" t="s">
        <v>1379</v>
      </c>
      <c r="D333" s="328"/>
      <c r="E333" s="345">
        <v>100000.0</v>
      </c>
      <c r="F333" s="330"/>
      <c r="G333" s="200" t="s">
        <v>606</v>
      </c>
      <c r="H333" s="332" t="s">
        <v>1381</v>
      </c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</row>
    <row r="334">
      <c r="A334" s="206"/>
      <c r="B334" s="195">
        <v>45979.0</v>
      </c>
      <c r="C334" s="216" t="s">
        <v>500</v>
      </c>
      <c r="D334" s="197"/>
      <c r="E334" s="341">
        <v>70000.0</v>
      </c>
      <c r="F334" s="203"/>
      <c r="G334" s="200" t="s">
        <v>1301</v>
      </c>
      <c r="H334" s="325"/>
    </row>
    <row r="335">
      <c r="A335" s="326"/>
      <c r="B335" s="316"/>
      <c r="C335" s="366" t="s">
        <v>870</v>
      </c>
      <c r="D335" s="328"/>
      <c r="E335" s="345">
        <v>20000.0</v>
      </c>
      <c r="F335" s="330"/>
      <c r="G335" s="200" t="s">
        <v>1301</v>
      </c>
      <c r="H335" s="34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</row>
    <row r="336">
      <c r="A336" s="206"/>
      <c r="B336" s="195">
        <v>45979.0</v>
      </c>
      <c r="C336" s="71" t="s">
        <v>991</v>
      </c>
      <c r="D336" s="334" t="s">
        <v>476</v>
      </c>
      <c r="E336" s="341">
        <v>125000.0</v>
      </c>
      <c r="F336" s="203"/>
      <c r="G336" s="200" t="s">
        <v>1389</v>
      </c>
      <c r="H336" s="325" t="s">
        <v>1390</v>
      </c>
    </row>
    <row r="337">
      <c r="A337" s="326"/>
      <c r="B337" s="316"/>
      <c r="C337" s="327" t="s">
        <v>1391</v>
      </c>
      <c r="D337" s="328"/>
      <c r="E337" s="345">
        <v>7000.0</v>
      </c>
      <c r="F337" s="330"/>
      <c r="G337" s="200" t="s">
        <v>1389</v>
      </c>
      <c r="H337" s="34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</row>
    <row r="338">
      <c r="A338" s="206"/>
      <c r="B338" s="195">
        <v>45985.0</v>
      </c>
      <c r="C338" s="71" t="s">
        <v>1394</v>
      </c>
      <c r="D338" s="334" t="s">
        <v>476</v>
      </c>
      <c r="E338" s="341">
        <v>150000.0</v>
      </c>
      <c r="F338" s="203"/>
      <c r="G338" s="200" t="s">
        <v>1397</v>
      </c>
      <c r="H338" s="325" t="s">
        <v>1400</v>
      </c>
    </row>
    <row r="339">
      <c r="A339" s="206"/>
      <c r="B339" s="299">
        <v>45925.0</v>
      </c>
      <c r="C339" s="217" t="s">
        <v>1241</v>
      </c>
      <c r="D339" s="197"/>
      <c r="E339" s="198">
        <v>150000.0</v>
      </c>
      <c r="F339" s="203"/>
      <c r="G339" s="300" t="s">
        <v>1086</v>
      </c>
      <c r="H339" s="237" t="s">
        <v>1087</v>
      </c>
    </row>
    <row r="340">
      <c r="A340" s="245"/>
      <c r="B340" s="246"/>
      <c r="C340" s="247"/>
      <c r="D340" s="248"/>
      <c r="E340" s="249"/>
      <c r="F340" s="249"/>
      <c r="G340" s="251"/>
      <c r="H340" s="394"/>
      <c r="I340" s="254"/>
      <c r="J340" s="254"/>
      <c r="K340" s="254"/>
      <c r="L340" s="254"/>
      <c r="M340" s="254"/>
      <c r="N340" s="254"/>
      <c r="O340" s="254"/>
      <c r="P340" s="254"/>
      <c r="Q340" s="254"/>
      <c r="R340" s="254"/>
      <c r="S340" s="254"/>
      <c r="T340" s="254"/>
      <c r="U340" s="254"/>
      <c r="V340" s="254"/>
      <c r="W340" s="254"/>
      <c r="X340" s="254"/>
      <c r="Y340" s="254"/>
      <c r="Z340" s="254"/>
      <c r="AA340" s="254"/>
      <c r="AB340" s="254"/>
      <c r="AC340" s="254"/>
      <c r="AD340" s="254"/>
      <c r="AE340" s="254"/>
      <c r="AF340" s="254"/>
      <c r="AG340" s="254"/>
      <c r="AH340" s="254"/>
      <c r="AI340" s="254"/>
      <c r="AJ340" s="254"/>
      <c r="AK340" s="254"/>
      <c r="AL340" s="254"/>
      <c r="AM340" s="254"/>
      <c r="AN340" s="254"/>
      <c r="AO340" s="254"/>
      <c r="AP340" s="254"/>
      <c r="AQ340" s="254"/>
      <c r="AR340" s="254"/>
      <c r="AS340" s="254"/>
      <c r="AT340" s="254"/>
    </row>
    <row r="341">
      <c r="A341" s="395"/>
      <c r="B341" s="397">
        <v>45994.0</v>
      </c>
      <c r="C341" s="216" t="s">
        <v>500</v>
      </c>
      <c r="D341" s="197"/>
      <c r="E341" s="398">
        <v>70000.0</v>
      </c>
      <c r="F341" s="203"/>
      <c r="G341" s="200" t="s">
        <v>1301</v>
      </c>
      <c r="H341" s="325"/>
    </row>
    <row r="342">
      <c r="A342" s="326"/>
      <c r="B342" s="316"/>
      <c r="C342" s="366" t="s">
        <v>870</v>
      </c>
      <c r="D342" s="328"/>
      <c r="E342" s="399">
        <v>20000.0</v>
      </c>
      <c r="F342" s="330"/>
      <c r="G342" s="200" t="s">
        <v>1301</v>
      </c>
      <c r="H342" s="34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</row>
    <row r="343">
      <c r="A343" s="326"/>
      <c r="B343" s="351">
        <v>45994.0</v>
      </c>
      <c r="C343" s="327" t="s">
        <v>1413</v>
      </c>
      <c r="D343" s="328"/>
      <c r="E343" s="398">
        <v>50000.0</v>
      </c>
      <c r="F343" s="330"/>
      <c r="G343" s="200" t="s">
        <v>1414</v>
      </c>
      <c r="H343" s="34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</row>
    <row r="344">
      <c r="A344" s="326"/>
      <c r="B344" s="316"/>
      <c r="C344" s="327" t="s">
        <v>1417</v>
      </c>
      <c r="D344" s="328"/>
      <c r="E344" s="399">
        <v>20000.0</v>
      </c>
      <c r="F344" s="330"/>
      <c r="G344" s="200" t="s">
        <v>1414</v>
      </c>
      <c r="H344" s="34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</row>
    <row r="345">
      <c r="A345" s="326"/>
      <c r="B345" s="351">
        <v>45994.0</v>
      </c>
      <c r="C345" s="327" t="s">
        <v>1425</v>
      </c>
      <c r="D345" s="328"/>
      <c r="E345" s="398">
        <v>50000.0</v>
      </c>
      <c r="F345" s="330"/>
      <c r="H345" s="34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</row>
    <row r="346">
      <c r="A346" s="326"/>
      <c r="B346" s="316"/>
      <c r="C346" s="352" t="s">
        <v>1426</v>
      </c>
      <c r="D346" s="328"/>
      <c r="E346" s="399">
        <v>50000.0</v>
      </c>
      <c r="F346" s="330"/>
      <c r="G346" s="200" t="s">
        <v>1105</v>
      </c>
      <c r="H346" s="346" t="s">
        <v>1427</v>
      </c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</row>
    <row r="347">
      <c r="A347" s="326"/>
      <c r="B347" s="351">
        <v>45998.0</v>
      </c>
      <c r="C347" s="403" t="s">
        <v>1432</v>
      </c>
      <c r="D347" s="330"/>
      <c r="E347" s="404">
        <v>400000.0</v>
      </c>
      <c r="F347" s="330"/>
      <c r="G347" s="407"/>
      <c r="H347" s="40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</row>
    <row r="348">
      <c r="A348" s="206"/>
      <c r="B348" s="195">
        <v>46001.0</v>
      </c>
      <c r="C348" s="205" t="s">
        <v>1298</v>
      </c>
      <c r="D348" s="197"/>
      <c r="E348" s="259">
        <v>122100.0</v>
      </c>
      <c r="F348" s="203"/>
      <c r="G348" s="204"/>
      <c r="H348" s="92"/>
    </row>
    <row r="349">
      <c r="A349" s="206"/>
      <c r="B349" s="195">
        <v>46001.0</v>
      </c>
      <c r="C349" s="205" t="s">
        <v>1300</v>
      </c>
      <c r="D349" s="197"/>
      <c r="E349" s="259">
        <v>166500.0</v>
      </c>
      <c r="F349" s="203"/>
      <c r="G349" s="204"/>
      <c r="H349" s="92"/>
    </row>
    <row r="350">
      <c r="A350" s="326"/>
      <c r="B350" s="351">
        <v>46003.0</v>
      </c>
      <c r="C350" s="327" t="s">
        <v>1446</v>
      </c>
      <c r="D350" s="328"/>
      <c r="E350" s="399">
        <v>50000.0</v>
      </c>
      <c r="F350" s="330"/>
      <c r="G350" s="200" t="s">
        <v>1447</v>
      </c>
      <c r="H350" s="34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</row>
    <row r="351">
      <c r="A351" s="326"/>
      <c r="B351" s="316"/>
      <c r="C351" s="327" t="s">
        <v>1267</v>
      </c>
      <c r="D351" s="328"/>
      <c r="E351" s="399">
        <v>50000.0</v>
      </c>
      <c r="F351" s="330"/>
      <c r="G351" s="200" t="s">
        <v>1447</v>
      </c>
      <c r="H351" s="34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</row>
    <row r="352">
      <c r="A352" s="326"/>
      <c r="B352" s="351">
        <v>46009.0</v>
      </c>
      <c r="C352" s="352" t="s">
        <v>1289</v>
      </c>
      <c r="D352" s="334" t="s">
        <v>476</v>
      </c>
      <c r="E352" s="399">
        <v>100000.0</v>
      </c>
      <c r="F352" s="330"/>
      <c r="G352" s="200" t="s">
        <v>1447</v>
      </c>
      <c r="H352" s="346" t="s">
        <v>1292</v>
      </c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</row>
    <row r="353">
      <c r="A353" s="326"/>
      <c r="B353" s="351">
        <v>46009.0</v>
      </c>
      <c r="C353" s="411" t="s">
        <v>1458</v>
      </c>
      <c r="D353" s="200" t="s">
        <v>476</v>
      </c>
      <c r="E353" s="412">
        <v>2250000.0</v>
      </c>
      <c r="F353" s="92"/>
      <c r="G353" s="92"/>
      <c r="H353" s="413" t="s">
        <v>1460</v>
      </c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</row>
    <row r="354">
      <c r="A354" s="326"/>
      <c r="B354" s="351"/>
      <c r="C354" s="411" t="s">
        <v>1463</v>
      </c>
      <c r="D354" s="92"/>
      <c r="E354" s="412">
        <v>350000.0</v>
      </c>
      <c r="F354" s="92"/>
      <c r="G354" s="92"/>
      <c r="H354" s="92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</row>
    <row r="355">
      <c r="A355" s="326"/>
      <c r="B355" s="351">
        <v>46011.0</v>
      </c>
      <c r="C355" s="327" t="s">
        <v>1053</v>
      </c>
      <c r="D355" s="334" t="s">
        <v>476</v>
      </c>
      <c r="E355" s="399">
        <v>70000.0</v>
      </c>
      <c r="F355" s="330"/>
      <c r="G355" s="200" t="s">
        <v>1447</v>
      </c>
      <c r="H355" s="332" t="s">
        <v>1469</v>
      </c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</row>
    <row r="356">
      <c r="A356" s="326"/>
      <c r="B356" s="316"/>
      <c r="C356" s="327" t="s">
        <v>1470</v>
      </c>
      <c r="D356" s="334" t="s">
        <v>482</v>
      </c>
      <c r="E356" s="399">
        <v>180000.0</v>
      </c>
      <c r="F356" s="330"/>
      <c r="G356" s="200" t="s">
        <v>1447</v>
      </c>
      <c r="H356" s="34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</row>
    <row r="357">
      <c r="A357" s="326"/>
      <c r="B357" s="316"/>
      <c r="C357" s="327" t="s">
        <v>1478</v>
      </c>
      <c r="D357" s="334"/>
      <c r="E357" s="399">
        <v>500000.0</v>
      </c>
      <c r="F357" s="330"/>
      <c r="G357" s="200" t="s">
        <v>1447</v>
      </c>
      <c r="H357" s="34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</row>
    <row r="358">
      <c r="A358" s="326"/>
      <c r="B358" s="316"/>
      <c r="C358" s="327" t="s">
        <v>1480</v>
      </c>
      <c r="D358" s="334" t="s">
        <v>449</v>
      </c>
      <c r="E358" s="399">
        <v>110000.0</v>
      </c>
      <c r="F358" s="330"/>
      <c r="G358" s="200" t="s">
        <v>1447</v>
      </c>
      <c r="H358" s="332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</row>
    <row r="359">
      <c r="A359" s="326"/>
      <c r="B359" s="316"/>
      <c r="C359" s="327" t="s">
        <v>1491</v>
      </c>
      <c r="D359" s="334" t="s">
        <v>476</v>
      </c>
      <c r="E359" s="399">
        <v>625000.0</v>
      </c>
      <c r="F359" s="330"/>
      <c r="G359" s="200" t="s">
        <v>1493</v>
      </c>
      <c r="H359" s="332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</row>
    <row r="360">
      <c r="A360" s="326"/>
      <c r="B360" s="316"/>
      <c r="C360" s="327" t="s">
        <v>1496</v>
      </c>
      <c r="D360" s="334" t="s">
        <v>476</v>
      </c>
      <c r="E360" s="399">
        <v>500000.0</v>
      </c>
      <c r="F360" s="330"/>
      <c r="G360" s="200" t="s">
        <v>1493</v>
      </c>
      <c r="H360" s="34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</row>
    <row r="361">
      <c r="A361" s="326"/>
      <c r="B361" s="316"/>
      <c r="C361" s="327" t="s">
        <v>1500</v>
      </c>
      <c r="D361" s="334" t="s">
        <v>449</v>
      </c>
      <c r="E361" s="399">
        <v>300000.0</v>
      </c>
      <c r="F361" s="330"/>
      <c r="G361" s="200" t="s">
        <v>1493</v>
      </c>
      <c r="H361" s="34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</row>
    <row r="362">
      <c r="A362" s="326"/>
      <c r="B362" s="351">
        <v>46012.0</v>
      </c>
      <c r="C362" s="327" t="s">
        <v>1507</v>
      </c>
      <c r="D362" s="328"/>
      <c r="E362" s="399">
        <v>150000.0</v>
      </c>
      <c r="F362" s="330"/>
      <c r="G362" s="200" t="s">
        <v>606</v>
      </c>
      <c r="H362" s="34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</row>
    <row r="363">
      <c r="A363" s="206"/>
      <c r="B363" s="299">
        <v>46016.0</v>
      </c>
      <c r="C363" s="217" t="s">
        <v>1241</v>
      </c>
      <c r="D363" s="197"/>
      <c r="E363" s="198">
        <v>150000.0</v>
      </c>
      <c r="F363" s="203"/>
      <c r="G363" s="300" t="s">
        <v>1086</v>
      </c>
      <c r="H363" s="237" t="s">
        <v>1087</v>
      </c>
    </row>
    <row r="364">
      <c r="A364" s="326"/>
      <c r="B364" s="351">
        <v>46019.0</v>
      </c>
      <c r="C364" s="327" t="s">
        <v>1509</v>
      </c>
      <c r="D364" s="328"/>
      <c r="E364" s="399">
        <v>70000.0</v>
      </c>
      <c r="F364" s="330"/>
      <c r="G364" s="200" t="s">
        <v>1510</v>
      </c>
      <c r="H364" s="34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</row>
    <row r="365">
      <c r="A365" s="206"/>
      <c r="B365" s="195">
        <v>46019.0</v>
      </c>
      <c r="C365" s="216" t="s">
        <v>500</v>
      </c>
      <c r="D365" s="197"/>
      <c r="E365" s="398">
        <v>70000.0</v>
      </c>
      <c r="F365" s="203"/>
      <c r="G365" s="200" t="s">
        <v>1301</v>
      </c>
      <c r="H365" s="325"/>
    </row>
    <row r="366">
      <c r="A366" s="326"/>
      <c r="B366" s="316"/>
      <c r="C366" s="366" t="s">
        <v>1305</v>
      </c>
      <c r="D366" s="334" t="s">
        <v>476</v>
      </c>
      <c r="E366" s="399">
        <v>20000.0</v>
      </c>
      <c r="F366" s="330"/>
      <c r="G366" s="200" t="s">
        <v>1307</v>
      </c>
      <c r="H366" s="34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</row>
    <row r="367">
      <c r="A367" s="326"/>
      <c r="B367" s="316"/>
      <c r="C367" s="366" t="s">
        <v>587</v>
      </c>
      <c r="D367" s="328"/>
      <c r="E367" s="399">
        <v>50000.0</v>
      </c>
      <c r="F367" s="330"/>
      <c r="G367" s="200" t="s">
        <v>1301</v>
      </c>
      <c r="H367" s="34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</row>
    <row r="368">
      <c r="A368" s="427"/>
      <c r="B368" s="428"/>
      <c r="C368" s="429"/>
      <c r="D368" s="430"/>
      <c r="E368" s="431"/>
      <c r="F368" s="432"/>
      <c r="G368" s="251"/>
      <c r="H368" s="433"/>
      <c r="I368" s="434"/>
      <c r="J368" s="434"/>
      <c r="K368" s="434"/>
      <c r="L368" s="434"/>
      <c r="M368" s="434"/>
      <c r="N368" s="434"/>
      <c r="O368" s="434"/>
      <c r="P368" s="434"/>
      <c r="Q368" s="434"/>
      <c r="R368" s="434"/>
      <c r="S368" s="434"/>
      <c r="T368" s="434"/>
      <c r="U368" s="434"/>
      <c r="V368" s="434"/>
      <c r="W368" s="434"/>
      <c r="X368" s="434"/>
      <c r="Y368" s="434"/>
      <c r="Z368" s="434"/>
      <c r="AA368" s="434"/>
      <c r="AB368" s="434"/>
      <c r="AC368" s="434"/>
      <c r="AD368" s="434"/>
      <c r="AE368" s="434"/>
      <c r="AF368" s="434"/>
      <c r="AG368" s="434"/>
      <c r="AH368" s="434"/>
      <c r="AI368" s="434"/>
      <c r="AJ368" s="434"/>
      <c r="AK368" s="434"/>
      <c r="AL368" s="434"/>
      <c r="AM368" s="434"/>
      <c r="AN368" s="434"/>
      <c r="AO368" s="434"/>
      <c r="AP368" s="434"/>
      <c r="AQ368" s="434"/>
      <c r="AR368" s="434"/>
      <c r="AS368" s="434"/>
      <c r="AT368" s="434"/>
    </row>
    <row r="369">
      <c r="A369" s="435"/>
      <c r="B369" s="437">
        <v>46030.0</v>
      </c>
      <c r="C369" s="71" t="s">
        <v>1267</v>
      </c>
      <c r="D369" s="197"/>
      <c r="E369" s="439">
        <v>50000.0</v>
      </c>
      <c r="G369" s="200" t="s">
        <v>1524</v>
      </c>
      <c r="H369" s="92"/>
    </row>
    <row r="370">
      <c r="A370" s="206"/>
      <c r="B370" s="195"/>
      <c r="C370" s="71" t="s">
        <v>545</v>
      </c>
      <c r="D370" s="197"/>
      <c r="E370" s="439">
        <v>30000.0</v>
      </c>
      <c r="F370" s="203"/>
      <c r="G370" s="200" t="s">
        <v>1524</v>
      </c>
      <c r="H370" s="208"/>
    </row>
    <row r="371">
      <c r="A371" s="326"/>
      <c r="B371" s="351">
        <v>46030.0</v>
      </c>
      <c r="C371" s="403" t="s">
        <v>1528</v>
      </c>
      <c r="D371" s="330"/>
      <c r="E371" s="441">
        <v>400000.0</v>
      </c>
      <c r="F371" s="330"/>
      <c r="G371" s="407"/>
      <c r="H371" s="40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</row>
    <row r="372">
      <c r="A372" s="206"/>
      <c r="B372" s="195"/>
      <c r="C372" s="205" t="s">
        <v>1536</v>
      </c>
      <c r="D372" s="197"/>
      <c r="E372" s="259">
        <v>3500000.0</v>
      </c>
      <c r="F372" s="203"/>
      <c r="G372" s="200"/>
      <c r="H372" s="208" t="s">
        <v>1537</v>
      </c>
    </row>
    <row r="373">
      <c r="A373" s="206"/>
      <c r="B373" s="195">
        <v>46031.0</v>
      </c>
      <c r="C373" s="280" t="s">
        <v>847</v>
      </c>
      <c r="D373" s="197" t="s">
        <v>476</v>
      </c>
      <c r="E373" s="439">
        <v>340000.0</v>
      </c>
      <c r="F373" s="203"/>
      <c r="G373" s="200" t="s">
        <v>1542</v>
      </c>
      <c r="H373" s="208" t="s">
        <v>1543</v>
      </c>
    </row>
    <row r="374">
      <c r="A374" s="442"/>
      <c r="B374" s="195">
        <v>46031.0</v>
      </c>
      <c r="C374" s="201" t="s">
        <v>1544</v>
      </c>
      <c r="D374" s="443" t="s">
        <v>449</v>
      </c>
      <c r="E374" s="444">
        <v>500000.0</v>
      </c>
      <c r="F374" s="203"/>
      <c r="G374" s="200" t="s">
        <v>1072</v>
      </c>
      <c r="H374" s="208" t="s">
        <v>1545</v>
      </c>
    </row>
    <row r="375">
      <c r="A375" s="442"/>
      <c r="B375" s="409"/>
      <c r="C375" s="201" t="s">
        <v>1546</v>
      </c>
      <c r="D375" s="443" t="s">
        <v>482</v>
      </c>
      <c r="E375" s="444">
        <v>120000.0</v>
      </c>
      <c r="F375" s="203"/>
      <c r="G375" s="200" t="s">
        <v>1131</v>
      </c>
      <c r="H375" s="208" t="s">
        <v>1547</v>
      </c>
    </row>
    <row r="376">
      <c r="A376" s="219"/>
      <c r="B376" s="445">
        <v>46035.0</v>
      </c>
      <c r="C376" s="446" t="s">
        <v>1548</v>
      </c>
      <c r="D376" s="225"/>
      <c r="E376" s="447">
        <v>122100.0</v>
      </c>
      <c r="F376" s="330"/>
      <c r="G376" s="407"/>
      <c r="H376" s="40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</row>
    <row r="377">
      <c r="A377" s="206"/>
      <c r="B377" s="351">
        <v>46035.0</v>
      </c>
      <c r="C377" s="205" t="s">
        <v>1550</v>
      </c>
      <c r="D377" s="197"/>
      <c r="E377" s="259">
        <v>166500.0</v>
      </c>
      <c r="F377" s="203"/>
      <c r="G377" s="204"/>
      <c r="H377" s="92"/>
    </row>
    <row r="378">
      <c r="A378" s="206"/>
      <c r="B378" s="351">
        <v>46042.0</v>
      </c>
      <c r="C378" s="71" t="s">
        <v>1553</v>
      </c>
      <c r="D378" s="197"/>
      <c r="E378" s="439">
        <v>200000.0</v>
      </c>
      <c r="F378" s="203"/>
      <c r="G378" s="200" t="s">
        <v>606</v>
      </c>
      <c r="H378" s="208"/>
    </row>
    <row r="379">
      <c r="A379" s="206"/>
      <c r="B379" s="351">
        <v>46043.0</v>
      </c>
      <c r="C379" s="71" t="s">
        <v>1555</v>
      </c>
      <c r="D379" s="197"/>
      <c r="E379" s="439">
        <v>820000.0</v>
      </c>
      <c r="F379" s="203"/>
      <c r="G379" s="200" t="s">
        <v>1447</v>
      </c>
      <c r="H379" s="208" t="s">
        <v>1557</v>
      </c>
    </row>
    <row r="380">
      <c r="A380" s="206"/>
      <c r="B380" s="195"/>
      <c r="C380" s="71" t="s">
        <v>927</v>
      </c>
      <c r="D380" s="197" t="s">
        <v>482</v>
      </c>
      <c r="E380" s="439">
        <v>180000.0</v>
      </c>
      <c r="F380" s="203"/>
      <c r="G380" s="200" t="s">
        <v>1447</v>
      </c>
      <c r="H380" s="208"/>
    </row>
    <row r="381">
      <c r="A381" s="206"/>
      <c r="B381" s="195"/>
      <c r="C381" s="71" t="s">
        <v>1559</v>
      </c>
      <c r="D381" s="197" t="s">
        <v>449</v>
      </c>
      <c r="E381" s="439">
        <v>140000.0</v>
      </c>
      <c r="F381" s="203"/>
      <c r="G381" s="200" t="s">
        <v>1447</v>
      </c>
      <c r="H381" s="208"/>
    </row>
    <row r="382">
      <c r="A382" s="206"/>
      <c r="B382" s="195"/>
      <c r="C382" s="71" t="s">
        <v>1562</v>
      </c>
      <c r="D382" s="197"/>
      <c r="E382" s="439">
        <v>600000.0</v>
      </c>
      <c r="F382" s="203"/>
      <c r="G382" s="200" t="s">
        <v>1447</v>
      </c>
      <c r="H382" s="208"/>
    </row>
    <row r="383">
      <c r="A383" s="206"/>
      <c r="B383" s="195"/>
      <c r="C383" s="71" t="s">
        <v>1567</v>
      </c>
      <c r="D383" s="197"/>
      <c r="E383" s="439">
        <v>100000.0</v>
      </c>
      <c r="F383" s="203"/>
      <c r="G383" s="200" t="s">
        <v>1447</v>
      </c>
      <c r="H383" s="208"/>
    </row>
    <row r="384">
      <c r="A384" s="206"/>
      <c r="B384" s="351">
        <v>46043.0</v>
      </c>
      <c r="C384" s="71" t="s">
        <v>545</v>
      </c>
      <c r="D384" s="197"/>
      <c r="E384" s="439">
        <v>20000.0</v>
      </c>
      <c r="F384" s="203"/>
      <c r="G384" s="200" t="s">
        <v>1131</v>
      </c>
      <c r="H384" s="208"/>
    </row>
    <row r="385">
      <c r="A385" s="206"/>
      <c r="B385" s="195"/>
      <c r="C385" s="71" t="s">
        <v>1417</v>
      </c>
      <c r="D385" s="197"/>
      <c r="E385" s="439">
        <v>10000.0</v>
      </c>
      <c r="F385" s="203"/>
      <c r="G385" s="200" t="s">
        <v>1131</v>
      </c>
      <c r="H385" s="208"/>
    </row>
    <row r="386">
      <c r="A386" s="206"/>
      <c r="B386" s="195"/>
      <c r="C386" s="71" t="s">
        <v>802</v>
      </c>
      <c r="D386" s="197"/>
      <c r="E386" s="439">
        <v>20000.0</v>
      </c>
      <c r="F386" s="203"/>
      <c r="G386" s="200" t="s">
        <v>1131</v>
      </c>
      <c r="H386" s="208"/>
    </row>
    <row r="387">
      <c r="A387" s="206"/>
      <c r="B387" s="195"/>
      <c r="C387" s="71" t="s">
        <v>1570</v>
      </c>
      <c r="D387" s="197"/>
      <c r="E387" s="439">
        <v>60000.0</v>
      </c>
      <c r="F387" s="203"/>
      <c r="G387" s="200" t="s">
        <v>1131</v>
      </c>
      <c r="H387" s="208"/>
    </row>
    <row r="388">
      <c r="A388" s="206"/>
      <c r="B388" s="351">
        <v>46052.0</v>
      </c>
      <c r="C388" s="216" t="s">
        <v>500</v>
      </c>
      <c r="D388" s="197"/>
      <c r="E388" s="439">
        <v>70000.0</v>
      </c>
      <c r="F388" s="203"/>
      <c r="G388" s="200" t="s">
        <v>1301</v>
      </c>
      <c r="H388" s="208"/>
    </row>
    <row r="389">
      <c r="A389" s="206"/>
      <c r="B389" s="195"/>
      <c r="C389" s="366" t="s">
        <v>1305</v>
      </c>
      <c r="D389" s="334" t="s">
        <v>476</v>
      </c>
      <c r="E389" s="449">
        <v>20000.0</v>
      </c>
      <c r="F389" s="330"/>
      <c r="G389" s="200" t="s">
        <v>1307</v>
      </c>
      <c r="H389" s="208"/>
    </row>
    <row r="390">
      <c r="A390" s="206"/>
      <c r="B390" s="195"/>
      <c r="C390" s="366" t="s">
        <v>587</v>
      </c>
      <c r="D390" s="328"/>
      <c r="E390" s="449">
        <v>50000.0</v>
      </c>
      <c r="F390" s="330"/>
      <c r="G390" s="200" t="s">
        <v>1301</v>
      </c>
      <c r="H390" s="208"/>
    </row>
    <row r="391">
      <c r="A391" s="206"/>
      <c r="B391" s="299">
        <v>46053.0</v>
      </c>
      <c r="C391" s="217" t="s">
        <v>1241</v>
      </c>
      <c r="D391" s="197"/>
      <c r="E391" s="198">
        <v>150000.0</v>
      </c>
      <c r="F391" s="203"/>
      <c r="G391" s="300" t="s">
        <v>1086</v>
      </c>
      <c r="H391" s="237" t="s">
        <v>1572</v>
      </c>
    </row>
    <row r="392">
      <c r="A392" s="245"/>
      <c r="B392" s="246"/>
      <c r="C392" s="247"/>
      <c r="D392" s="248"/>
      <c r="E392" s="249"/>
      <c r="F392" s="249"/>
      <c r="G392" s="251"/>
      <c r="H392" s="394"/>
      <c r="I392" s="254"/>
      <c r="J392" s="254"/>
      <c r="K392" s="254"/>
      <c r="L392" s="254"/>
      <c r="M392" s="254"/>
      <c r="N392" s="254"/>
      <c r="O392" s="254"/>
      <c r="P392" s="254"/>
      <c r="Q392" s="254"/>
      <c r="R392" s="254"/>
      <c r="S392" s="254"/>
      <c r="T392" s="254"/>
      <c r="U392" s="254"/>
      <c r="V392" s="254"/>
      <c r="W392" s="254"/>
      <c r="X392" s="254"/>
      <c r="Y392" s="254"/>
      <c r="Z392" s="254"/>
      <c r="AA392" s="254"/>
      <c r="AB392" s="254"/>
      <c r="AC392" s="254"/>
      <c r="AD392" s="254"/>
      <c r="AE392" s="254"/>
      <c r="AF392" s="254"/>
      <c r="AG392" s="254"/>
      <c r="AH392" s="254"/>
      <c r="AI392" s="254"/>
      <c r="AJ392" s="254"/>
      <c r="AK392" s="254"/>
      <c r="AL392" s="254"/>
      <c r="AM392" s="254"/>
      <c r="AN392" s="254"/>
      <c r="AO392" s="254"/>
      <c r="AP392" s="254"/>
      <c r="AQ392" s="254"/>
      <c r="AR392" s="254"/>
      <c r="AS392" s="254"/>
      <c r="AT392" s="254"/>
    </row>
    <row r="393">
      <c r="A393" s="453"/>
      <c r="B393" s="454">
        <v>46059.0</v>
      </c>
      <c r="C393" s="71" t="s">
        <v>1577</v>
      </c>
      <c r="D393" s="197" t="s">
        <v>476</v>
      </c>
      <c r="E393" s="456">
        <v>50000.0</v>
      </c>
      <c r="F393" s="203"/>
      <c r="G393" s="200" t="s">
        <v>806</v>
      </c>
      <c r="H393" s="208"/>
    </row>
    <row r="394">
      <c r="A394" s="206"/>
      <c r="B394" s="195">
        <v>46059.0</v>
      </c>
      <c r="C394" s="71" t="s">
        <v>1578</v>
      </c>
      <c r="D394" s="197"/>
      <c r="E394" s="456">
        <v>50000.0</v>
      </c>
      <c r="F394" s="203"/>
      <c r="G394" s="200"/>
      <c r="H394" s="208"/>
    </row>
    <row r="395">
      <c r="A395" s="206"/>
      <c r="B395" s="195">
        <v>46060.0</v>
      </c>
      <c r="C395" s="211" t="s">
        <v>1580</v>
      </c>
      <c r="D395" s="197" t="s">
        <v>449</v>
      </c>
      <c r="E395" s="456">
        <v>7900000.0</v>
      </c>
      <c r="F395" s="203"/>
      <c r="G395" s="200" t="s">
        <v>1581</v>
      </c>
      <c r="H395" s="335" t="s">
        <v>1582</v>
      </c>
    </row>
    <row r="396">
      <c r="A396" s="206"/>
      <c r="B396" s="195">
        <v>46061.0</v>
      </c>
      <c r="C396" s="71" t="s">
        <v>1583</v>
      </c>
      <c r="D396" s="197"/>
      <c r="E396" s="456">
        <v>200000.0</v>
      </c>
      <c r="F396" s="203"/>
      <c r="G396" s="200"/>
      <c r="H396" s="208"/>
    </row>
    <row r="397">
      <c r="A397" s="206"/>
      <c r="B397" s="195">
        <v>46061.0</v>
      </c>
      <c r="C397" s="71" t="s">
        <v>1585</v>
      </c>
      <c r="D397" s="197" t="s">
        <v>449</v>
      </c>
      <c r="E397" s="456">
        <v>60000.0</v>
      </c>
      <c r="F397" s="203"/>
      <c r="G397" s="200" t="s">
        <v>1587</v>
      </c>
      <c r="H397" s="208"/>
    </row>
    <row r="398">
      <c r="A398" s="206"/>
      <c r="B398" s="195"/>
      <c r="C398" s="71" t="s">
        <v>1589</v>
      </c>
      <c r="D398" s="197"/>
      <c r="E398" s="456">
        <v>20000.0</v>
      </c>
      <c r="F398" s="203"/>
      <c r="G398" s="200" t="s">
        <v>1587</v>
      </c>
      <c r="H398" s="208"/>
    </row>
    <row r="399">
      <c r="A399" s="206"/>
      <c r="B399" s="195"/>
      <c r="C399" s="71" t="s">
        <v>1593</v>
      </c>
      <c r="D399" s="197" t="s">
        <v>476</v>
      </c>
      <c r="E399" s="456">
        <v>50000.0</v>
      </c>
      <c r="F399" s="203"/>
      <c r="G399" s="200" t="s">
        <v>1587</v>
      </c>
      <c r="H399" s="208"/>
    </row>
    <row r="400">
      <c r="A400" s="206"/>
      <c r="B400" s="195"/>
      <c r="C400" s="71" t="s">
        <v>545</v>
      </c>
      <c r="D400" s="197"/>
      <c r="E400" s="456">
        <v>20000.0</v>
      </c>
      <c r="F400" s="203"/>
      <c r="G400" s="200" t="s">
        <v>1587</v>
      </c>
      <c r="H400" s="208"/>
    </row>
    <row r="401">
      <c r="A401" s="326"/>
      <c r="B401" s="351">
        <v>46061.0</v>
      </c>
      <c r="C401" s="403" t="s">
        <v>1594</v>
      </c>
      <c r="D401" s="330"/>
      <c r="E401" s="457">
        <v>900000.0</v>
      </c>
      <c r="F401" s="330"/>
      <c r="G401" s="407"/>
      <c r="H401" s="40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</row>
    <row r="402">
      <c r="A402" s="219"/>
      <c r="B402" s="445">
        <v>46066.0</v>
      </c>
      <c r="C402" s="446" t="s">
        <v>1595</v>
      </c>
      <c r="D402" s="225"/>
      <c r="E402" s="343">
        <v>122100.0</v>
      </c>
      <c r="F402" s="225"/>
      <c r="G402" s="344"/>
      <c r="H402" s="344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</row>
    <row r="403">
      <c r="A403" s="206"/>
      <c r="B403" s="351">
        <v>46066.0</v>
      </c>
      <c r="C403" s="205" t="s">
        <v>1604</v>
      </c>
      <c r="D403" s="197"/>
      <c r="E403" s="259">
        <v>166500.0</v>
      </c>
      <c r="F403" s="203"/>
      <c r="G403" s="204"/>
      <c r="H403" s="92"/>
    </row>
    <row r="404">
      <c r="A404" s="206"/>
      <c r="B404" s="351">
        <v>46074.0</v>
      </c>
      <c r="C404" s="71" t="s">
        <v>1267</v>
      </c>
      <c r="D404" s="197"/>
      <c r="E404" s="456">
        <v>60000.0</v>
      </c>
      <c r="F404" s="203"/>
      <c r="G404" s="200" t="s">
        <v>1605</v>
      </c>
      <c r="H404" s="208"/>
    </row>
    <row r="405">
      <c r="A405" s="206"/>
      <c r="B405" s="195"/>
      <c r="C405" s="71" t="s">
        <v>545</v>
      </c>
      <c r="D405" s="197"/>
      <c r="E405" s="456">
        <v>20000.0</v>
      </c>
      <c r="F405" s="203"/>
      <c r="G405" s="200" t="s">
        <v>1605</v>
      </c>
      <c r="H405" s="208"/>
    </row>
    <row r="406">
      <c r="A406" s="206"/>
      <c r="B406" s="195"/>
      <c r="C406" s="71" t="s">
        <v>1570</v>
      </c>
      <c r="D406" s="197"/>
      <c r="E406" s="456">
        <v>50000.0</v>
      </c>
      <c r="F406" s="203"/>
      <c r="G406" s="200" t="s">
        <v>1605</v>
      </c>
      <c r="H406" s="208" t="s">
        <v>1606</v>
      </c>
    </row>
    <row r="407">
      <c r="A407" s="206"/>
      <c r="B407" s="195"/>
      <c r="C407" s="71" t="s">
        <v>1417</v>
      </c>
      <c r="D407" s="197"/>
      <c r="E407" s="456">
        <v>5000.0</v>
      </c>
      <c r="F407" s="203"/>
      <c r="G407" s="200" t="s">
        <v>1605</v>
      </c>
      <c r="H407" s="208"/>
    </row>
    <row r="408">
      <c r="A408" s="206"/>
      <c r="B408" s="195"/>
      <c r="C408" s="71"/>
      <c r="D408" s="197"/>
      <c r="E408" s="456"/>
      <c r="F408" s="203"/>
      <c r="G408" s="200"/>
      <c r="H408" s="208"/>
    </row>
    <row r="409">
      <c r="A409" s="206"/>
      <c r="B409" s="195"/>
      <c r="C409" s="71" t="s">
        <v>1610</v>
      </c>
      <c r="D409" s="197"/>
      <c r="E409" s="456">
        <v>100000.0</v>
      </c>
      <c r="F409" s="203"/>
      <c r="G409" s="200" t="s">
        <v>1611</v>
      </c>
      <c r="H409" s="208" t="s">
        <v>1606</v>
      </c>
    </row>
    <row r="410">
      <c r="A410" s="206"/>
      <c r="B410" s="195"/>
      <c r="C410" s="71"/>
      <c r="D410" s="197"/>
      <c r="E410" s="456"/>
      <c r="F410" s="203"/>
      <c r="G410" s="200"/>
      <c r="H410" s="208"/>
    </row>
    <row r="411">
      <c r="A411" s="206"/>
      <c r="B411" s="351">
        <v>46079.0</v>
      </c>
      <c r="C411" s="286" t="s">
        <v>1613</v>
      </c>
      <c r="E411" s="456">
        <v>50000.0</v>
      </c>
      <c r="F411" s="203"/>
      <c r="G411" s="200" t="s">
        <v>1614</v>
      </c>
    </row>
    <row r="412">
      <c r="A412" s="206"/>
      <c r="B412" s="351"/>
      <c r="C412" s="71" t="s">
        <v>1616</v>
      </c>
      <c r="D412" s="197" t="s">
        <v>449</v>
      </c>
      <c r="E412" s="456">
        <v>50000.0</v>
      </c>
      <c r="F412" s="203"/>
      <c r="G412" s="200" t="s">
        <v>1614</v>
      </c>
      <c r="H412" s="293" t="s">
        <v>1617</v>
      </c>
    </row>
    <row r="413">
      <c r="A413" s="206"/>
      <c r="B413" s="351">
        <v>46080.0</v>
      </c>
      <c r="C413" s="71" t="s">
        <v>1618</v>
      </c>
      <c r="D413" s="197"/>
      <c r="E413" s="456">
        <v>50000.0</v>
      </c>
      <c r="F413" s="203"/>
      <c r="G413" s="200" t="s">
        <v>711</v>
      </c>
      <c r="H413" s="208"/>
    </row>
    <row r="414">
      <c r="A414" s="206"/>
      <c r="B414" s="299">
        <v>46081.0</v>
      </c>
      <c r="C414" s="217" t="s">
        <v>1241</v>
      </c>
      <c r="D414" s="197"/>
      <c r="E414" s="257">
        <v>150000.0</v>
      </c>
      <c r="F414" s="203"/>
      <c r="G414" s="300" t="s">
        <v>1086</v>
      </c>
      <c r="H414" s="237" t="s">
        <v>1619</v>
      </c>
    </row>
    <row r="415">
      <c r="A415" s="206"/>
      <c r="B415" s="464">
        <v>46081.0</v>
      </c>
      <c r="C415" s="465" t="s">
        <v>1621</v>
      </c>
      <c r="D415" s="197" t="s">
        <v>1622</v>
      </c>
      <c r="E415" s="456">
        <v>629000.0</v>
      </c>
      <c r="F415" s="203"/>
      <c r="G415" s="200"/>
      <c r="H415" s="208" t="s">
        <v>1624</v>
      </c>
    </row>
    <row r="416">
      <c r="A416" s="252"/>
      <c r="B416" s="252"/>
      <c r="C416" s="252"/>
      <c r="D416" s="252"/>
      <c r="E416" s="252"/>
      <c r="F416" s="252"/>
      <c r="G416" s="252"/>
      <c r="H416" s="252"/>
      <c r="I416" s="254"/>
      <c r="J416" s="254"/>
      <c r="K416" s="254"/>
      <c r="L416" s="254"/>
      <c r="M416" s="254"/>
      <c r="N416" s="254"/>
      <c r="O416" s="254"/>
      <c r="P416" s="254"/>
      <c r="Q416" s="254"/>
      <c r="R416" s="254"/>
      <c r="S416" s="254"/>
      <c r="T416" s="254"/>
      <c r="U416" s="254"/>
      <c r="V416" s="254"/>
      <c r="W416" s="254"/>
      <c r="X416" s="254"/>
      <c r="Y416" s="254"/>
      <c r="Z416" s="254"/>
      <c r="AA416" s="254"/>
      <c r="AB416" s="254"/>
      <c r="AC416" s="254"/>
      <c r="AD416" s="254"/>
      <c r="AE416" s="254"/>
      <c r="AF416" s="254"/>
      <c r="AG416" s="254"/>
      <c r="AH416" s="254"/>
      <c r="AI416" s="254"/>
      <c r="AJ416" s="254"/>
      <c r="AK416" s="254"/>
      <c r="AL416" s="254"/>
      <c r="AM416" s="254"/>
      <c r="AN416" s="254"/>
      <c r="AO416" s="254"/>
      <c r="AP416" s="254"/>
      <c r="AQ416" s="254"/>
      <c r="AR416" s="254"/>
      <c r="AS416" s="254"/>
      <c r="AT416" s="254"/>
    </row>
    <row r="417">
      <c r="A417" s="468"/>
      <c r="B417" s="469">
        <v>46082.0</v>
      </c>
      <c r="C417" s="470" t="s">
        <v>1630</v>
      </c>
      <c r="D417" s="200" t="s">
        <v>482</v>
      </c>
      <c r="E417" s="472">
        <v>80000.0</v>
      </c>
      <c r="F417" s="92"/>
      <c r="G417" s="200" t="s">
        <v>1631</v>
      </c>
      <c r="H417" s="92"/>
    </row>
    <row r="418">
      <c r="A418" s="92"/>
      <c r="B418" s="92"/>
      <c r="C418" s="200" t="s">
        <v>1162</v>
      </c>
      <c r="D418" s="200" t="s">
        <v>449</v>
      </c>
      <c r="E418" s="472">
        <v>30000.0</v>
      </c>
      <c r="F418" s="92"/>
      <c r="G418" s="200" t="s">
        <v>1299</v>
      </c>
      <c r="H418" s="92"/>
    </row>
    <row r="419">
      <c r="A419" s="92"/>
      <c r="B419" s="92"/>
      <c r="C419" s="200" t="s">
        <v>1634</v>
      </c>
      <c r="D419" s="92"/>
      <c r="E419" s="472">
        <v>20000.0</v>
      </c>
      <c r="F419" s="92"/>
      <c r="G419" s="200" t="s">
        <v>1299</v>
      </c>
      <c r="H419" s="92"/>
    </row>
    <row r="420">
      <c r="A420" s="92"/>
      <c r="B420" s="351">
        <v>46082.0</v>
      </c>
      <c r="C420" s="216" t="s">
        <v>500</v>
      </c>
      <c r="D420" s="92"/>
      <c r="E420" s="472">
        <v>75000.0</v>
      </c>
      <c r="F420" s="92"/>
      <c r="G420" s="200" t="s">
        <v>1635</v>
      </c>
      <c r="H420" s="92"/>
    </row>
    <row r="421">
      <c r="A421" s="92"/>
      <c r="B421" s="92"/>
      <c r="C421" s="366" t="s">
        <v>1305</v>
      </c>
      <c r="D421" s="200" t="s">
        <v>1130</v>
      </c>
      <c r="E421" s="473">
        <v>51000.0</v>
      </c>
      <c r="F421" s="92"/>
      <c r="G421" s="200" t="s">
        <v>1635</v>
      </c>
      <c r="H421" s="92"/>
    </row>
    <row r="422">
      <c r="A422" s="206"/>
      <c r="B422" s="195"/>
      <c r="C422" s="366" t="s">
        <v>587</v>
      </c>
      <c r="D422" s="197"/>
      <c r="E422" s="473">
        <v>70000.0</v>
      </c>
      <c r="F422" s="203"/>
      <c r="G422" s="200" t="s">
        <v>1635</v>
      </c>
      <c r="H422" s="208"/>
    </row>
    <row r="423">
      <c r="A423" s="206"/>
      <c r="B423" s="351">
        <v>46082.0</v>
      </c>
      <c r="C423" s="280" t="s">
        <v>847</v>
      </c>
      <c r="D423" s="197" t="s">
        <v>476</v>
      </c>
      <c r="E423" s="472">
        <v>425000.0</v>
      </c>
      <c r="F423" s="203"/>
      <c r="G423" s="200" t="s">
        <v>582</v>
      </c>
      <c r="H423" s="208"/>
    </row>
    <row r="424">
      <c r="A424" s="206"/>
      <c r="B424" s="195"/>
      <c r="C424" s="280" t="s">
        <v>849</v>
      </c>
      <c r="D424" s="197" t="s">
        <v>476</v>
      </c>
      <c r="E424" s="472">
        <v>125000.0</v>
      </c>
      <c r="F424" s="203"/>
      <c r="G424" s="200" t="s">
        <v>582</v>
      </c>
      <c r="H424" s="208"/>
    </row>
    <row r="425">
      <c r="A425" s="206"/>
      <c r="B425" s="195"/>
      <c r="C425" s="280" t="s">
        <v>1640</v>
      </c>
      <c r="D425" s="197" t="s">
        <v>476</v>
      </c>
      <c r="E425" s="472">
        <v>50000.0</v>
      </c>
      <c r="F425" s="203"/>
      <c r="G425" s="200" t="s">
        <v>582</v>
      </c>
      <c r="H425" s="208"/>
    </row>
    <row r="426">
      <c r="A426" s="206"/>
      <c r="B426" s="195"/>
      <c r="C426" s="280" t="s">
        <v>1641</v>
      </c>
      <c r="D426" s="197" t="s">
        <v>476</v>
      </c>
      <c r="E426" s="472">
        <v>150000.0</v>
      </c>
      <c r="F426" s="203"/>
      <c r="G426" s="200" t="s">
        <v>582</v>
      </c>
      <c r="H426" s="208"/>
    </row>
    <row r="427">
      <c r="A427" s="206"/>
      <c r="B427" s="195"/>
      <c r="C427" s="71" t="s">
        <v>1642</v>
      </c>
      <c r="D427" s="200" t="s">
        <v>482</v>
      </c>
      <c r="E427" s="472">
        <v>600000.0</v>
      </c>
      <c r="F427" s="203"/>
      <c r="G427" s="200" t="s">
        <v>582</v>
      </c>
      <c r="H427" s="208" t="s">
        <v>1643</v>
      </c>
    </row>
    <row r="428">
      <c r="A428" s="206"/>
      <c r="B428" s="351">
        <v>46086.0</v>
      </c>
      <c r="C428" s="71" t="s">
        <v>1644</v>
      </c>
      <c r="D428" s="197" t="s">
        <v>449</v>
      </c>
      <c r="E428" s="472">
        <v>90000.0</v>
      </c>
      <c r="F428" s="203"/>
      <c r="G428" s="200" t="s">
        <v>1447</v>
      </c>
      <c r="H428" s="208"/>
    </row>
    <row r="429">
      <c r="A429" s="206"/>
      <c r="B429" s="195"/>
      <c r="C429" s="71" t="s">
        <v>824</v>
      </c>
      <c r="D429" s="197" t="s">
        <v>449</v>
      </c>
      <c r="E429" s="472">
        <v>140000.0</v>
      </c>
      <c r="F429" s="203"/>
      <c r="G429" s="200" t="s">
        <v>1447</v>
      </c>
      <c r="H429" s="208"/>
    </row>
    <row r="430">
      <c r="A430" s="206"/>
      <c r="B430" s="195"/>
      <c r="C430" s="71" t="s">
        <v>1648</v>
      </c>
      <c r="D430" s="197"/>
      <c r="E430" s="472">
        <v>200000.0</v>
      </c>
      <c r="F430" s="203"/>
      <c r="G430" s="200" t="s">
        <v>1447</v>
      </c>
      <c r="H430" s="208"/>
    </row>
    <row r="431">
      <c r="A431" s="206"/>
      <c r="B431" s="195"/>
      <c r="C431" s="71" t="s">
        <v>1649</v>
      </c>
      <c r="D431" s="197"/>
      <c r="E431" s="472">
        <v>150000.0</v>
      </c>
      <c r="F431" s="203"/>
      <c r="G431" s="200" t="s">
        <v>1447</v>
      </c>
      <c r="H431" s="293" t="s">
        <v>1650</v>
      </c>
    </row>
    <row r="432">
      <c r="A432" s="206"/>
      <c r="B432" s="195"/>
      <c r="C432" s="71" t="s">
        <v>1651</v>
      </c>
      <c r="D432" s="197"/>
      <c r="E432" s="472">
        <v>100000.0</v>
      </c>
      <c r="F432" s="203"/>
      <c r="G432" s="200" t="s">
        <v>1447</v>
      </c>
    </row>
    <row r="433">
      <c r="A433" s="206"/>
      <c r="B433" s="195"/>
      <c r="C433" s="71" t="s">
        <v>1446</v>
      </c>
      <c r="D433" s="197"/>
      <c r="E433" s="472">
        <v>50000.0</v>
      </c>
      <c r="F433" s="203"/>
      <c r="G433" s="200" t="s">
        <v>1447</v>
      </c>
      <c r="H433" s="208"/>
    </row>
    <row r="434">
      <c r="A434" s="206"/>
      <c r="B434" s="195"/>
      <c r="C434" s="71" t="s">
        <v>1655</v>
      </c>
      <c r="D434" s="197"/>
      <c r="E434" s="472">
        <v>100000.0</v>
      </c>
      <c r="F434" s="203"/>
      <c r="G434" s="200" t="s">
        <v>1447</v>
      </c>
      <c r="H434" s="208"/>
    </row>
    <row r="435">
      <c r="A435" s="206"/>
      <c r="B435" s="195"/>
      <c r="C435" s="283" t="s">
        <v>1658</v>
      </c>
      <c r="D435" s="197"/>
      <c r="E435" s="472">
        <v>0.0</v>
      </c>
      <c r="F435" s="203"/>
      <c r="G435" s="200" t="s">
        <v>1447</v>
      </c>
      <c r="H435" s="346" t="s">
        <v>1662</v>
      </c>
    </row>
    <row r="436">
      <c r="A436" s="326"/>
      <c r="B436" s="351">
        <v>46089.0</v>
      </c>
      <c r="C436" s="403" t="s">
        <v>1663</v>
      </c>
      <c r="D436" s="330"/>
      <c r="E436" s="457">
        <v>900000.0</v>
      </c>
      <c r="F436" s="330"/>
      <c r="G436" s="407"/>
      <c r="H436" s="40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</row>
    <row r="437">
      <c r="A437" s="219"/>
      <c r="B437" s="445">
        <v>46089.0</v>
      </c>
      <c r="C437" s="446" t="s">
        <v>1666</v>
      </c>
      <c r="D437" s="225"/>
      <c r="E437" s="343">
        <v>122100.0</v>
      </c>
      <c r="F437" s="225"/>
      <c r="G437" s="344"/>
      <c r="H437" s="344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</row>
    <row r="438">
      <c r="A438" s="206"/>
      <c r="B438" s="445">
        <v>46089.0</v>
      </c>
      <c r="C438" s="205" t="s">
        <v>1670</v>
      </c>
      <c r="D438" s="197"/>
      <c r="E438" s="259">
        <v>166500.0</v>
      </c>
      <c r="F438" s="203"/>
      <c r="G438" s="204"/>
      <c r="H438" s="92"/>
    </row>
    <row r="439">
      <c r="A439" s="206"/>
      <c r="B439" s="351">
        <v>46091.0</v>
      </c>
      <c r="C439" s="71" t="s">
        <v>1673</v>
      </c>
      <c r="D439" s="197" t="s">
        <v>1334</v>
      </c>
      <c r="E439" s="472">
        <v>50000.0</v>
      </c>
      <c r="F439" s="203"/>
      <c r="G439" s="200" t="s">
        <v>1299</v>
      </c>
      <c r="H439" s="208"/>
    </row>
    <row r="440">
      <c r="A440" s="206"/>
      <c r="B440" s="195"/>
      <c r="C440" s="71" t="s">
        <v>1675</v>
      </c>
      <c r="D440" s="197" t="s">
        <v>1676</v>
      </c>
      <c r="E440" s="472">
        <v>56000.0</v>
      </c>
      <c r="F440" s="203"/>
      <c r="G440" s="200" t="s">
        <v>1299</v>
      </c>
      <c r="H440" s="208" t="s">
        <v>1677</v>
      </c>
    </row>
    <row r="441">
      <c r="A441" s="206"/>
      <c r="B441" s="195"/>
      <c r="C441" s="71" t="s">
        <v>1678</v>
      </c>
      <c r="D441" s="197"/>
      <c r="E441" s="472">
        <v>100000.0</v>
      </c>
      <c r="F441" s="203"/>
      <c r="G441" s="200" t="s">
        <v>1299</v>
      </c>
      <c r="H441" s="208"/>
    </row>
    <row r="442">
      <c r="A442" s="206"/>
      <c r="B442" s="195"/>
      <c r="C442" s="71" t="s">
        <v>1680</v>
      </c>
      <c r="D442" s="197" t="s">
        <v>476</v>
      </c>
      <c r="E442" s="472">
        <v>45000.0</v>
      </c>
      <c r="F442" s="203"/>
      <c r="G442" s="200" t="s">
        <v>1299</v>
      </c>
      <c r="H442" s="208"/>
    </row>
    <row r="443">
      <c r="A443" s="206"/>
      <c r="B443" s="351">
        <v>46091.0</v>
      </c>
      <c r="C443" s="196" t="s">
        <v>1682</v>
      </c>
      <c r="D443" s="197"/>
      <c r="E443" s="291">
        <v>700000.0</v>
      </c>
      <c r="F443" s="203"/>
      <c r="G443" s="200" t="s">
        <v>1684</v>
      </c>
      <c r="H443" s="208"/>
    </row>
    <row r="444">
      <c r="A444" s="206"/>
      <c r="B444" s="445">
        <v>46096.0</v>
      </c>
      <c r="C444" s="202" t="s">
        <v>1686</v>
      </c>
      <c r="D444" s="197"/>
      <c r="E444" s="482">
        <v>250000.0</v>
      </c>
      <c r="F444" s="203"/>
      <c r="G444" s="200"/>
      <c r="H444" s="208"/>
    </row>
    <row r="445">
      <c r="A445" s="206"/>
      <c r="B445" s="195"/>
      <c r="C445" s="216" t="s">
        <v>500</v>
      </c>
      <c r="D445" s="197"/>
      <c r="E445" s="472">
        <v>70000.0</v>
      </c>
      <c r="F445" s="203"/>
      <c r="G445" s="200" t="s">
        <v>1301</v>
      </c>
      <c r="H445" s="208"/>
    </row>
    <row r="446">
      <c r="A446" s="206"/>
      <c r="B446" s="409"/>
      <c r="C446" s="366" t="s">
        <v>1690</v>
      </c>
      <c r="D446" s="334"/>
      <c r="E446" s="473">
        <v>30000.0</v>
      </c>
      <c r="F446" s="330"/>
      <c r="G446" s="200" t="s">
        <v>1307</v>
      </c>
      <c r="H446" s="208"/>
    </row>
    <row r="447">
      <c r="A447" s="206"/>
      <c r="B447" s="445">
        <v>46099.0</v>
      </c>
      <c r="C447" s="327" t="s">
        <v>1694</v>
      </c>
      <c r="D447" s="334"/>
      <c r="E447" s="473">
        <v>650000.0</v>
      </c>
      <c r="F447" s="330"/>
      <c r="G447" s="200" t="s">
        <v>606</v>
      </c>
      <c r="H447" s="208" t="s">
        <v>1695</v>
      </c>
    </row>
    <row r="448">
      <c r="A448" s="206"/>
      <c r="B448" s="351">
        <v>46109.0</v>
      </c>
      <c r="C448" s="327" t="s">
        <v>545</v>
      </c>
      <c r="D448" s="334"/>
      <c r="E448" s="473">
        <v>20000.0</v>
      </c>
      <c r="F448" s="330"/>
      <c r="G448" s="200" t="s">
        <v>1696</v>
      </c>
      <c r="H448" s="208"/>
    </row>
    <row r="449">
      <c r="A449" s="206"/>
      <c r="B449" s="195"/>
      <c r="C449" s="327" t="s">
        <v>1417</v>
      </c>
      <c r="D449" s="334"/>
      <c r="E449" s="473">
        <v>10000.0</v>
      </c>
      <c r="F449" s="330"/>
      <c r="G449" s="200" t="s">
        <v>1696</v>
      </c>
      <c r="H449" s="208"/>
    </row>
    <row r="450">
      <c r="A450" s="206"/>
      <c r="B450" s="195"/>
      <c r="C450" s="327" t="s">
        <v>1697</v>
      </c>
      <c r="D450" s="334"/>
      <c r="E450" s="473">
        <v>20000.0</v>
      </c>
      <c r="F450" s="330"/>
      <c r="G450" s="200" t="s">
        <v>1696</v>
      </c>
      <c r="H450" s="208"/>
    </row>
    <row r="451">
      <c r="A451" s="206"/>
      <c r="B451" s="351">
        <v>46112.0</v>
      </c>
      <c r="C451" s="71" t="s">
        <v>1698</v>
      </c>
      <c r="D451" s="197"/>
      <c r="E451" s="472">
        <v>60000.0</v>
      </c>
      <c r="F451" s="203"/>
      <c r="G451" s="200" t="s">
        <v>1700</v>
      </c>
      <c r="H451" s="208" t="s">
        <v>1701</v>
      </c>
    </row>
    <row r="452">
      <c r="A452" s="206"/>
      <c r="B452" s="195"/>
      <c r="C452" s="71" t="s">
        <v>1704</v>
      </c>
      <c r="D452" s="197"/>
      <c r="E452" s="472">
        <v>20000.0</v>
      </c>
      <c r="F452" s="203"/>
      <c r="G452" s="200" t="s">
        <v>1700</v>
      </c>
      <c r="H452" s="208"/>
    </row>
    <row r="453">
      <c r="A453" s="206"/>
      <c r="B453" s="299">
        <v>46112.0</v>
      </c>
      <c r="C453" s="217" t="s">
        <v>1241</v>
      </c>
      <c r="D453" s="197"/>
      <c r="E453" s="257">
        <v>150000.0</v>
      </c>
      <c r="F453" s="203"/>
      <c r="G453" s="300" t="s">
        <v>1086</v>
      </c>
      <c r="H453" s="237" t="s">
        <v>1705</v>
      </c>
    </row>
    <row r="454">
      <c r="A454" s="245"/>
      <c r="B454" s="246"/>
      <c r="C454" s="247"/>
      <c r="D454" s="248"/>
      <c r="E454" s="249"/>
      <c r="F454" s="249"/>
      <c r="G454" s="251"/>
      <c r="H454" s="394"/>
      <c r="I454" s="254"/>
      <c r="J454" s="254"/>
      <c r="K454" s="254"/>
      <c r="L454" s="254"/>
      <c r="M454" s="254"/>
      <c r="N454" s="254"/>
      <c r="O454" s="254"/>
      <c r="P454" s="254"/>
      <c r="Q454" s="254"/>
      <c r="R454" s="254"/>
      <c r="S454" s="254"/>
      <c r="T454" s="254"/>
      <c r="U454" s="254"/>
      <c r="V454" s="254"/>
      <c r="W454" s="254"/>
      <c r="X454" s="254"/>
      <c r="Y454" s="254"/>
      <c r="Z454" s="254"/>
      <c r="AA454" s="254"/>
      <c r="AB454" s="254"/>
      <c r="AC454" s="254"/>
      <c r="AD454" s="254"/>
      <c r="AE454" s="254"/>
      <c r="AF454" s="254"/>
      <c r="AG454" s="254"/>
      <c r="AH454" s="254"/>
      <c r="AI454" s="254"/>
      <c r="AJ454" s="254"/>
      <c r="AK454" s="254"/>
      <c r="AL454" s="254"/>
      <c r="AM454" s="254"/>
      <c r="AN454" s="254"/>
      <c r="AO454" s="254"/>
      <c r="AP454" s="254"/>
      <c r="AQ454" s="254"/>
      <c r="AR454" s="254"/>
      <c r="AS454" s="254"/>
      <c r="AT454" s="254"/>
    </row>
    <row r="455">
      <c r="A455" s="206"/>
      <c r="B455" s="445">
        <v>46114.0</v>
      </c>
      <c r="C455" s="71" t="s">
        <v>1710</v>
      </c>
      <c r="D455" s="197" t="s">
        <v>449</v>
      </c>
      <c r="E455" s="490">
        <v>100000.0</v>
      </c>
      <c r="F455" s="203"/>
      <c r="G455" s="200" t="s">
        <v>1712</v>
      </c>
      <c r="H455" s="208" t="s">
        <v>1713</v>
      </c>
    </row>
    <row r="456">
      <c r="A456" s="206"/>
      <c r="B456" s="445">
        <v>46114.0</v>
      </c>
      <c r="C456" s="71" t="s">
        <v>1715</v>
      </c>
      <c r="D456" s="197" t="s">
        <v>476</v>
      </c>
      <c r="E456" s="490">
        <v>25000.0</v>
      </c>
      <c r="F456" s="203"/>
      <c r="G456" s="200" t="s">
        <v>1717</v>
      </c>
      <c r="H456" s="208"/>
    </row>
    <row r="457">
      <c r="A457" s="206"/>
      <c r="B457" s="445"/>
      <c r="C457" s="71" t="s">
        <v>1718</v>
      </c>
      <c r="D457" s="197" t="s">
        <v>1719</v>
      </c>
      <c r="E457" s="490">
        <v>20000.0</v>
      </c>
      <c r="F457" s="203"/>
      <c r="G457" s="200" t="s">
        <v>1717</v>
      </c>
      <c r="H457" s="208" t="s">
        <v>1721</v>
      </c>
    </row>
    <row r="458">
      <c r="A458" s="206"/>
      <c r="B458" s="195"/>
      <c r="C458" s="71" t="s">
        <v>1724</v>
      </c>
      <c r="D458" s="197" t="s">
        <v>1725</v>
      </c>
      <c r="E458" s="490">
        <v>25000.0</v>
      </c>
      <c r="F458" s="203"/>
      <c r="G458" s="200" t="s">
        <v>1717</v>
      </c>
      <c r="H458" s="208" t="s">
        <v>1721</v>
      </c>
    </row>
    <row r="459">
      <c r="A459" s="206"/>
      <c r="B459" s="445">
        <v>46115.0</v>
      </c>
      <c r="C459" s="71" t="s">
        <v>1727</v>
      </c>
      <c r="D459" s="197" t="s">
        <v>476</v>
      </c>
      <c r="E459" s="490">
        <v>25000.0</v>
      </c>
      <c r="F459" s="203"/>
      <c r="G459" s="200"/>
      <c r="H459" s="208" t="s">
        <v>1729</v>
      </c>
    </row>
    <row r="460">
      <c r="A460" s="206"/>
      <c r="B460" s="445">
        <v>46117.0</v>
      </c>
      <c r="C460" s="71" t="s">
        <v>1730</v>
      </c>
      <c r="D460" s="197" t="s">
        <v>1018</v>
      </c>
      <c r="E460" s="490">
        <v>45000.0</v>
      </c>
      <c r="F460" s="203"/>
      <c r="G460" s="200" t="s">
        <v>1299</v>
      </c>
      <c r="H460" s="208" t="s">
        <v>1732</v>
      </c>
    </row>
    <row r="461">
      <c r="A461" s="326"/>
      <c r="B461" s="491"/>
      <c r="C461" s="327" t="s">
        <v>1733</v>
      </c>
      <c r="D461" s="330"/>
      <c r="E461" s="492">
        <v>50000.0</v>
      </c>
      <c r="F461" s="330"/>
      <c r="G461" s="200" t="s">
        <v>1299</v>
      </c>
      <c r="H461" s="208" t="s">
        <v>1732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</row>
    <row r="462">
      <c r="A462" s="326"/>
      <c r="B462" s="351">
        <v>46120.0</v>
      </c>
      <c r="C462" s="403" t="s">
        <v>1739</v>
      </c>
      <c r="D462" s="330"/>
      <c r="E462" s="457">
        <v>900000.0</v>
      </c>
      <c r="F462" s="330"/>
      <c r="G462" s="407"/>
      <c r="H462" s="40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</row>
    <row r="463">
      <c r="A463" s="219"/>
      <c r="B463" s="445">
        <v>46125.0</v>
      </c>
      <c r="C463" s="446" t="s">
        <v>1744</v>
      </c>
      <c r="D463" s="225"/>
      <c r="E463" s="343">
        <v>122100.0</v>
      </c>
      <c r="F463" s="225"/>
      <c r="G463" s="344"/>
      <c r="H463" s="344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</row>
    <row r="464">
      <c r="A464" s="206"/>
      <c r="B464" s="445">
        <v>46125.0</v>
      </c>
      <c r="C464" s="205" t="s">
        <v>1747</v>
      </c>
      <c r="D464" s="197"/>
      <c r="E464" s="259">
        <v>166500.0</v>
      </c>
      <c r="F464" s="203"/>
      <c r="G464" s="204"/>
      <c r="H464" s="92"/>
    </row>
    <row r="465">
      <c r="A465" s="206"/>
      <c r="B465" s="445">
        <v>46125.0</v>
      </c>
      <c r="C465" s="71" t="s">
        <v>545</v>
      </c>
      <c r="D465" s="197"/>
      <c r="E465" s="490">
        <v>20000.0</v>
      </c>
      <c r="F465" s="203"/>
      <c r="G465" s="200" t="s">
        <v>1749</v>
      </c>
      <c r="H465" s="208"/>
    </row>
    <row r="466">
      <c r="A466" s="206"/>
      <c r="B466" s="445"/>
      <c r="C466" s="71" t="s">
        <v>1137</v>
      </c>
      <c r="D466" s="197" t="s">
        <v>1750</v>
      </c>
      <c r="E466" s="490">
        <v>60000.0</v>
      </c>
      <c r="F466" s="203"/>
      <c r="G466" s="200" t="s">
        <v>1749</v>
      </c>
      <c r="H466" s="208"/>
    </row>
    <row r="467">
      <c r="A467" s="206"/>
      <c r="B467" s="445">
        <v>46125.0</v>
      </c>
      <c r="C467" s="71" t="s">
        <v>1751</v>
      </c>
      <c r="D467" s="197" t="s">
        <v>476</v>
      </c>
      <c r="E467" s="490">
        <v>35000.0</v>
      </c>
      <c r="F467" s="203"/>
      <c r="G467" s="200" t="s">
        <v>1447</v>
      </c>
      <c r="H467" s="208"/>
    </row>
    <row r="468">
      <c r="A468" s="206"/>
      <c r="B468" s="351"/>
      <c r="C468" s="71" t="s">
        <v>1752</v>
      </c>
      <c r="D468" s="197" t="s">
        <v>476</v>
      </c>
      <c r="E468" s="490">
        <v>180000.0</v>
      </c>
      <c r="F468" s="203"/>
      <c r="G468" s="200" t="s">
        <v>1447</v>
      </c>
      <c r="H468" s="208"/>
    </row>
    <row r="469">
      <c r="A469" s="206"/>
      <c r="B469" s="351"/>
      <c r="C469" s="71" t="s">
        <v>1753</v>
      </c>
      <c r="D469" s="197" t="s">
        <v>476</v>
      </c>
      <c r="E469" s="490">
        <v>80000.0</v>
      </c>
      <c r="F469" s="203"/>
      <c r="G469" s="200" t="s">
        <v>1447</v>
      </c>
      <c r="H469" s="208"/>
    </row>
    <row r="470">
      <c r="A470" s="206"/>
      <c r="B470" s="351"/>
      <c r="C470" s="71" t="s">
        <v>1754</v>
      </c>
      <c r="D470" s="197" t="s">
        <v>476</v>
      </c>
      <c r="E470" s="490">
        <v>75000.0</v>
      </c>
      <c r="F470" s="203"/>
      <c r="G470" s="200" t="s">
        <v>1447</v>
      </c>
      <c r="H470" s="208"/>
    </row>
    <row r="471">
      <c r="A471" s="206"/>
      <c r="B471" s="351"/>
      <c r="C471" s="71" t="s">
        <v>1756</v>
      </c>
      <c r="D471" s="197" t="s">
        <v>476</v>
      </c>
      <c r="E471" s="490">
        <v>30000.0</v>
      </c>
      <c r="F471" s="203"/>
      <c r="G471" s="200" t="s">
        <v>1447</v>
      </c>
      <c r="H471" s="208"/>
    </row>
    <row r="472">
      <c r="A472" s="206"/>
      <c r="B472" s="351"/>
      <c r="C472" s="71" t="s">
        <v>1757</v>
      </c>
      <c r="D472" s="197" t="s">
        <v>554</v>
      </c>
      <c r="E472" s="490">
        <v>40000.0</v>
      </c>
      <c r="F472" s="203"/>
      <c r="G472" s="200" t="s">
        <v>1447</v>
      </c>
      <c r="H472" s="208"/>
    </row>
    <row r="473">
      <c r="A473" s="206"/>
      <c r="B473" s="351"/>
      <c r="C473" s="71" t="s">
        <v>1759</v>
      </c>
      <c r="D473" s="197"/>
      <c r="E473" s="490">
        <v>50000.0</v>
      </c>
      <c r="F473" s="203"/>
      <c r="G473" s="200" t="s">
        <v>1447</v>
      </c>
      <c r="H473" s="208"/>
    </row>
    <row r="474">
      <c r="A474" s="206"/>
      <c r="B474" s="351"/>
      <c r="C474" s="71" t="s">
        <v>1446</v>
      </c>
      <c r="D474" s="197"/>
      <c r="E474" s="490">
        <v>50000.0</v>
      </c>
      <c r="F474" s="203"/>
      <c r="G474" s="200" t="s">
        <v>1447</v>
      </c>
      <c r="H474" s="208"/>
    </row>
    <row r="475">
      <c r="A475" s="206"/>
      <c r="B475" s="351"/>
      <c r="C475" s="71" t="s">
        <v>1761</v>
      </c>
      <c r="D475" s="197"/>
      <c r="E475" s="490">
        <v>100000.0</v>
      </c>
      <c r="F475" s="203"/>
      <c r="G475" s="200" t="s">
        <v>1447</v>
      </c>
      <c r="H475" s="208"/>
    </row>
    <row r="476">
      <c r="A476" s="206"/>
      <c r="B476" s="351"/>
      <c r="C476" s="71" t="s">
        <v>1762</v>
      </c>
      <c r="D476" s="197"/>
      <c r="E476" s="490">
        <v>50000.0</v>
      </c>
      <c r="F476" s="203"/>
      <c r="G476" s="200" t="s">
        <v>1447</v>
      </c>
      <c r="H476" s="208"/>
    </row>
    <row r="477">
      <c r="A477" s="206"/>
      <c r="B477" s="351"/>
      <c r="C477" s="71" t="s">
        <v>1765</v>
      </c>
      <c r="D477" s="197"/>
      <c r="E477" s="490">
        <v>120000.0</v>
      </c>
      <c r="F477" s="203"/>
      <c r="G477" s="200" t="s">
        <v>996</v>
      </c>
      <c r="H477" s="208" t="s">
        <v>1766</v>
      </c>
    </row>
    <row r="478">
      <c r="A478" s="206"/>
      <c r="B478" s="445">
        <v>46129.0</v>
      </c>
      <c r="C478" s="71" t="s">
        <v>1767</v>
      </c>
      <c r="D478" s="197"/>
      <c r="E478" s="490">
        <v>150000.0</v>
      </c>
      <c r="F478" s="203"/>
      <c r="G478" s="200" t="s">
        <v>1768</v>
      </c>
      <c r="H478" s="208"/>
    </row>
    <row r="479">
      <c r="A479" s="206"/>
      <c r="B479" s="445">
        <v>46129.0</v>
      </c>
      <c r="C479" s="71" t="s">
        <v>1769</v>
      </c>
      <c r="D479" s="197"/>
      <c r="E479" s="490">
        <v>50000.0</v>
      </c>
      <c r="F479" s="203"/>
      <c r="G479" s="200" t="s">
        <v>1770</v>
      </c>
      <c r="H479" s="208"/>
    </row>
    <row r="480">
      <c r="A480" s="206"/>
      <c r="B480" s="445">
        <v>46131.0</v>
      </c>
      <c r="C480" s="71" t="s">
        <v>1772</v>
      </c>
      <c r="D480" s="197" t="s">
        <v>476</v>
      </c>
      <c r="E480" s="490">
        <v>50000.0</v>
      </c>
      <c r="F480" s="203"/>
      <c r="G480" s="200" t="s">
        <v>1773</v>
      </c>
      <c r="H480" s="208" t="s">
        <v>1774</v>
      </c>
    </row>
    <row r="481">
      <c r="A481" s="206"/>
      <c r="B481" s="195"/>
      <c r="C481" s="71" t="s">
        <v>1776</v>
      </c>
      <c r="D481" s="197" t="s">
        <v>476</v>
      </c>
      <c r="E481" s="490">
        <v>35000.0</v>
      </c>
      <c r="F481" s="203"/>
      <c r="G481" s="200" t="s">
        <v>1773</v>
      </c>
      <c r="H481" s="208"/>
    </row>
    <row r="482">
      <c r="A482" s="206"/>
      <c r="B482" s="195"/>
      <c r="C482" s="71" t="s">
        <v>1778</v>
      </c>
      <c r="D482" s="197"/>
      <c r="E482" s="490">
        <v>70000.0</v>
      </c>
      <c r="F482" s="203"/>
      <c r="G482" s="200" t="s">
        <v>1773</v>
      </c>
      <c r="H482" s="208"/>
    </row>
    <row r="483">
      <c r="A483" s="206"/>
      <c r="B483" s="351">
        <v>46142.0</v>
      </c>
      <c r="C483" s="71" t="s">
        <v>1779</v>
      </c>
      <c r="D483" s="197"/>
      <c r="E483" s="490">
        <v>50000.0</v>
      </c>
      <c r="F483" s="203"/>
      <c r="G483" s="200" t="s">
        <v>1781</v>
      </c>
      <c r="H483" s="496" t="s">
        <v>1782</v>
      </c>
    </row>
    <row r="484">
      <c r="A484" s="206"/>
      <c r="B484" s="299">
        <v>46142.0</v>
      </c>
      <c r="C484" s="217" t="s">
        <v>1241</v>
      </c>
      <c r="D484" s="197"/>
      <c r="E484" s="257">
        <v>0.0</v>
      </c>
      <c r="F484" s="203"/>
      <c r="G484" s="300" t="s">
        <v>1086</v>
      </c>
      <c r="H484" s="237" t="s">
        <v>1785</v>
      </c>
    </row>
    <row r="485">
      <c r="A485" s="245"/>
      <c r="B485" s="497"/>
      <c r="C485" s="247"/>
      <c r="D485" s="248"/>
      <c r="E485" s="249"/>
      <c r="F485" s="249"/>
      <c r="G485" s="251"/>
      <c r="H485" s="394"/>
      <c r="I485" s="254"/>
      <c r="J485" s="254"/>
      <c r="K485" s="254"/>
      <c r="L485" s="254"/>
      <c r="M485" s="254"/>
      <c r="N485" s="254"/>
      <c r="O485" s="254"/>
      <c r="P485" s="254"/>
      <c r="Q485" s="254"/>
      <c r="R485" s="254"/>
      <c r="S485" s="254"/>
      <c r="T485" s="254"/>
      <c r="U485" s="254"/>
      <c r="V485" s="254"/>
      <c r="W485" s="254"/>
      <c r="X485" s="254"/>
      <c r="Y485" s="254"/>
      <c r="Z485" s="254"/>
      <c r="AA485" s="254"/>
      <c r="AB485" s="254"/>
      <c r="AC485" s="254"/>
      <c r="AD485" s="254"/>
      <c r="AE485" s="254"/>
      <c r="AF485" s="254"/>
      <c r="AG485" s="254"/>
      <c r="AH485" s="254"/>
      <c r="AI485" s="254"/>
      <c r="AJ485" s="254"/>
      <c r="AK485" s="254"/>
      <c r="AL485" s="254"/>
      <c r="AM485" s="254"/>
      <c r="AN485" s="254"/>
      <c r="AO485" s="254"/>
      <c r="AP485" s="254"/>
      <c r="AQ485" s="254"/>
      <c r="AR485" s="254"/>
      <c r="AS485" s="254"/>
      <c r="AT485" s="254"/>
    </row>
    <row r="486">
      <c r="A486" s="206"/>
      <c r="B486" s="351">
        <v>46145.0</v>
      </c>
      <c r="C486" s="211" t="s">
        <v>1789</v>
      </c>
      <c r="D486" s="197" t="s">
        <v>449</v>
      </c>
      <c r="E486" s="502">
        <v>8600000.0</v>
      </c>
      <c r="F486" s="203"/>
      <c r="G486" s="200" t="s">
        <v>1791</v>
      </c>
      <c r="H486" s="208" t="s">
        <v>1792</v>
      </c>
    </row>
    <row r="487">
      <c r="A487" s="206"/>
      <c r="B487" s="351"/>
      <c r="C487" s="71" t="s">
        <v>1793</v>
      </c>
      <c r="D487" s="197" t="s">
        <v>449</v>
      </c>
      <c r="E487" s="502">
        <v>60000.0</v>
      </c>
      <c r="F487" s="203"/>
      <c r="G487" s="200" t="s">
        <v>1791</v>
      </c>
      <c r="H487" s="208"/>
    </row>
    <row r="488">
      <c r="A488" s="206"/>
      <c r="B488" s="351">
        <v>46145.0</v>
      </c>
      <c r="C488" s="71" t="s">
        <v>1795</v>
      </c>
      <c r="D488" s="197" t="s">
        <v>482</v>
      </c>
      <c r="E488" s="502">
        <v>100000.0</v>
      </c>
      <c r="F488" s="203"/>
      <c r="G488" s="200" t="s">
        <v>1796</v>
      </c>
      <c r="H488" s="208"/>
    </row>
    <row r="489">
      <c r="A489" s="206"/>
      <c r="B489" s="351"/>
      <c r="C489" s="71" t="s">
        <v>1797</v>
      </c>
      <c r="D489" s="197" t="s">
        <v>482</v>
      </c>
      <c r="E489" s="502">
        <v>80000.0</v>
      </c>
      <c r="F489" s="203"/>
      <c r="G489" s="200" t="s">
        <v>1796</v>
      </c>
      <c r="H489" s="208"/>
    </row>
    <row r="490">
      <c r="A490" s="206"/>
      <c r="B490" s="351">
        <v>46147.0</v>
      </c>
      <c r="C490" s="71" t="s">
        <v>1798</v>
      </c>
      <c r="D490" s="197"/>
      <c r="E490" s="502">
        <v>50000.0</v>
      </c>
      <c r="F490" s="203"/>
      <c r="G490" s="200" t="s">
        <v>1800</v>
      </c>
      <c r="H490" s="208"/>
    </row>
    <row r="491">
      <c r="A491" s="206"/>
      <c r="B491" s="351"/>
      <c r="C491" s="71" t="s">
        <v>1802</v>
      </c>
      <c r="D491" s="197"/>
      <c r="E491" s="502">
        <v>25000.0</v>
      </c>
      <c r="F491" s="203"/>
      <c r="G491" s="200" t="s">
        <v>1800</v>
      </c>
      <c r="H491" s="208"/>
    </row>
    <row r="492">
      <c r="A492" s="206"/>
      <c r="B492" s="351"/>
      <c r="C492" s="283" t="s">
        <v>1426</v>
      </c>
      <c r="D492" s="197"/>
      <c r="E492" s="502">
        <v>25000.0</v>
      </c>
      <c r="F492" s="203"/>
      <c r="G492" s="200" t="s">
        <v>1800</v>
      </c>
      <c r="H492" s="293" t="s">
        <v>1806</v>
      </c>
    </row>
    <row r="493">
      <c r="A493" s="206"/>
      <c r="B493" s="351">
        <v>46148.0</v>
      </c>
      <c r="C493" s="71" t="s">
        <v>1808</v>
      </c>
      <c r="D493" s="197"/>
      <c r="E493" s="502">
        <v>60000.0</v>
      </c>
      <c r="F493" s="203"/>
      <c r="G493" s="200" t="s">
        <v>1810</v>
      </c>
      <c r="H493" s="208" t="s">
        <v>1811</v>
      </c>
    </row>
    <row r="494">
      <c r="A494" s="206"/>
      <c r="B494" s="351"/>
      <c r="C494" s="71" t="s">
        <v>1812</v>
      </c>
      <c r="D494" s="197"/>
      <c r="E494" s="502">
        <v>130000.0</v>
      </c>
      <c r="F494" s="203"/>
      <c r="G494" s="200" t="s">
        <v>1810</v>
      </c>
      <c r="H494" s="208" t="s">
        <v>1813</v>
      </c>
    </row>
    <row r="495">
      <c r="A495" s="326"/>
      <c r="B495" s="351">
        <v>46150.0</v>
      </c>
      <c r="C495" s="403" t="s">
        <v>1814</v>
      </c>
      <c r="D495" s="330"/>
      <c r="E495" s="457">
        <v>900000.0</v>
      </c>
      <c r="F495" s="330"/>
      <c r="G495" s="407"/>
      <c r="H495" s="40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</row>
    <row r="496">
      <c r="A496" s="219"/>
      <c r="B496" s="445">
        <v>46155.0</v>
      </c>
      <c r="C496" s="446" t="s">
        <v>1817</v>
      </c>
      <c r="D496" s="225"/>
      <c r="E496" s="343">
        <v>122100.0</v>
      </c>
      <c r="F496" s="225"/>
      <c r="G496" s="344"/>
      <c r="H496" s="344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</row>
    <row r="497">
      <c r="A497" s="206"/>
      <c r="B497" s="445">
        <v>46155.0</v>
      </c>
      <c r="C497" s="205" t="s">
        <v>1818</v>
      </c>
      <c r="D497" s="197"/>
      <c r="E497" s="259">
        <v>166500.0</v>
      </c>
      <c r="F497" s="203"/>
      <c r="G497" s="204"/>
      <c r="H497" s="92"/>
    </row>
    <row r="498">
      <c r="A498" s="206"/>
      <c r="B498" s="351">
        <v>46152.0</v>
      </c>
      <c r="C498" s="71" t="s">
        <v>1797</v>
      </c>
      <c r="D498" s="197"/>
      <c r="E498" s="502">
        <v>35000.0</v>
      </c>
      <c r="F498" s="203"/>
      <c r="G498" s="200" t="s">
        <v>1819</v>
      </c>
      <c r="H498" s="208"/>
    </row>
    <row r="499">
      <c r="A499" s="206"/>
      <c r="B499" s="351"/>
      <c r="C499" s="71" t="s">
        <v>1820</v>
      </c>
      <c r="D499" s="197"/>
      <c r="E499" s="502">
        <v>10000.0</v>
      </c>
      <c r="F499" s="203"/>
      <c r="G499" s="200" t="s">
        <v>1819</v>
      </c>
      <c r="H499" s="208"/>
    </row>
    <row r="500">
      <c r="A500" s="206"/>
      <c r="B500" s="351">
        <v>46154.0</v>
      </c>
      <c r="C500" s="71" t="s">
        <v>717</v>
      </c>
      <c r="D500" s="197"/>
      <c r="E500" s="502">
        <v>25000.0</v>
      </c>
      <c r="F500" s="203"/>
      <c r="G500" s="200" t="s">
        <v>1821</v>
      </c>
      <c r="H500" s="208"/>
    </row>
    <row r="501">
      <c r="A501" s="206"/>
      <c r="B501" s="351">
        <v>46166.0</v>
      </c>
      <c r="C501" s="71" t="s">
        <v>1823</v>
      </c>
      <c r="D501" s="197" t="s">
        <v>449</v>
      </c>
      <c r="E501" s="502">
        <v>100000.0</v>
      </c>
      <c r="F501" s="203"/>
      <c r="G501" s="200" t="s">
        <v>1796</v>
      </c>
      <c r="H501" s="293" t="s">
        <v>1824</v>
      </c>
    </row>
    <row r="502">
      <c r="A502" s="206"/>
      <c r="B502" s="351">
        <v>46167.0</v>
      </c>
      <c r="C502" s="71" t="s">
        <v>1826</v>
      </c>
      <c r="D502" s="197"/>
      <c r="E502" s="502">
        <v>200000.0</v>
      </c>
      <c r="F502" s="203"/>
      <c r="G502" s="200" t="s">
        <v>1827</v>
      </c>
      <c r="H502" s="208"/>
    </row>
    <row r="503">
      <c r="A503" s="206"/>
      <c r="B503" s="351">
        <v>46170.0</v>
      </c>
      <c r="C503" s="71" t="s">
        <v>1829</v>
      </c>
      <c r="D503" s="197" t="s">
        <v>476</v>
      </c>
      <c r="E503" s="502">
        <v>70000.0</v>
      </c>
      <c r="F503" s="203"/>
      <c r="G503" s="200" t="s">
        <v>1447</v>
      </c>
      <c r="H503" s="208" t="s">
        <v>1832</v>
      </c>
    </row>
    <row r="504">
      <c r="A504" s="206"/>
      <c r="B504" s="351"/>
      <c r="C504" s="71" t="s">
        <v>1833</v>
      </c>
      <c r="D504" s="197" t="s">
        <v>476</v>
      </c>
      <c r="E504" s="502">
        <v>80000.0</v>
      </c>
      <c r="F504" s="203"/>
      <c r="G504" s="200" t="s">
        <v>1447</v>
      </c>
      <c r="H504" s="208"/>
    </row>
    <row r="505">
      <c r="A505" s="206"/>
      <c r="B505" s="351"/>
      <c r="C505" s="71" t="s">
        <v>927</v>
      </c>
      <c r="D505" s="197" t="s">
        <v>449</v>
      </c>
      <c r="E505" s="502">
        <v>100000.0</v>
      </c>
      <c r="F505" s="203"/>
      <c r="G505" s="200" t="s">
        <v>1447</v>
      </c>
      <c r="H505" s="208"/>
    </row>
    <row r="506">
      <c r="A506" s="206"/>
      <c r="B506" s="351"/>
      <c r="C506" s="71" t="s">
        <v>1836</v>
      </c>
      <c r="D506" s="197" t="s">
        <v>476</v>
      </c>
      <c r="E506" s="502">
        <v>70000.0</v>
      </c>
      <c r="F506" s="203"/>
      <c r="G506" s="200" t="s">
        <v>1447</v>
      </c>
      <c r="H506" s="208" t="s">
        <v>1838</v>
      </c>
    </row>
    <row r="507">
      <c r="A507" s="206"/>
      <c r="B507" s="351"/>
      <c r="C507" s="71" t="s">
        <v>1840</v>
      </c>
      <c r="D507" s="197" t="s">
        <v>476</v>
      </c>
      <c r="E507" s="502">
        <v>500000.0</v>
      </c>
      <c r="F507" s="203"/>
      <c r="G507" s="200" t="s">
        <v>1447</v>
      </c>
      <c r="H507" s="208"/>
    </row>
    <row r="508">
      <c r="A508" s="206"/>
      <c r="B508" s="351"/>
      <c r="C508" s="71" t="s">
        <v>1843</v>
      </c>
      <c r="D508" s="197" t="s">
        <v>476</v>
      </c>
      <c r="E508" s="502">
        <v>100000.0</v>
      </c>
      <c r="F508" s="203"/>
      <c r="G508" s="200" t="s">
        <v>1447</v>
      </c>
      <c r="H508" s="208"/>
    </row>
    <row r="509">
      <c r="A509" s="206"/>
      <c r="B509" s="351"/>
      <c r="C509" s="71" t="s">
        <v>1844</v>
      </c>
      <c r="D509" s="197"/>
      <c r="E509" s="502">
        <v>300000.0</v>
      </c>
      <c r="F509" s="203"/>
      <c r="G509" s="200" t="s">
        <v>1447</v>
      </c>
      <c r="H509" s="208"/>
    </row>
    <row r="510">
      <c r="A510" s="206"/>
      <c r="B510" s="351"/>
      <c r="C510" s="71" t="s">
        <v>1846</v>
      </c>
      <c r="D510" s="197"/>
      <c r="E510" s="502">
        <v>150000.0</v>
      </c>
      <c r="F510" s="203"/>
      <c r="G510" s="200" t="s">
        <v>1447</v>
      </c>
      <c r="H510" s="208"/>
    </row>
    <row r="511">
      <c r="A511" s="245"/>
      <c r="B511" s="497"/>
      <c r="C511" s="247"/>
      <c r="D511" s="248"/>
      <c r="E511" s="249"/>
      <c r="F511" s="249"/>
      <c r="G511" s="251"/>
      <c r="H511" s="394"/>
      <c r="I511" s="254"/>
      <c r="J511" s="254"/>
      <c r="K511" s="254"/>
      <c r="L511" s="254"/>
      <c r="M511" s="254"/>
      <c r="N511" s="254"/>
      <c r="O511" s="254"/>
      <c r="P511" s="254"/>
      <c r="Q511" s="254"/>
      <c r="R511" s="254"/>
      <c r="S511" s="254"/>
      <c r="T511" s="254"/>
      <c r="U511" s="254"/>
      <c r="V511" s="254"/>
      <c r="W511" s="254"/>
      <c r="X511" s="254"/>
      <c r="Y511" s="254"/>
      <c r="Z511" s="254"/>
      <c r="AA511" s="254"/>
      <c r="AB511" s="254"/>
      <c r="AC511" s="254"/>
      <c r="AD511" s="254"/>
      <c r="AE511" s="254"/>
      <c r="AF511" s="254"/>
      <c r="AG511" s="254"/>
      <c r="AH511" s="254"/>
      <c r="AI511" s="254"/>
      <c r="AJ511" s="254"/>
      <c r="AK511" s="254"/>
      <c r="AL511" s="254"/>
      <c r="AM511" s="254"/>
      <c r="AN511" s="254"/>
      <c r="AO511" s="254"/>
      <c r="AP511" s="254"/>
      <c r="AQ511" s="254"/>
      <c r="AR511" s="254"/>
      <c r="AS511" s="254"/>
      <c r="AT511" s="254"/>
    </row>
    <row r="512">
      <c r="A512" s="92"/>
      <c r="B512" s="351">
        <v>46176.0</v>
      </c>
      <c r="C512" s="71" t="s">
        <v>545</v>
      </c>
      <c r="D512" s="92"/>
      <c r="E512" s="472">
        <v>20000.0</v>
      </c>
      <c r="F512" s="92"/>
      <c r="G512" s="200" t="s">
        <v>1131</v>
      </c>
      <c r="H512" s="92"/>
    </row>
    <row r="513">
      <c r="A513" s="92"/>
      <c r="B513" s="351"/>
      <c r="C513" s="71" t="s">
        <v>943</v>
      </c>
      <c r="D513" s="92"/>
      <c r="E513" s="472">
        <v>15000.0</v>
      </c>
      <c r="F513" s="92"/>
      <c r="G513" s="200" t="s">
        <v>1131</v>
      </c>
      <c r="H513" s="92"/>
    </row>
    <row r="514">
      <c r="A514" s="92"/>
      <c r="B514" s="351"/>
      <c r="C514" s="71" t="s">
        <v>1852</v>
      </c>
      <c r="D514" s="92"/>
      <c r="E514" s="472">
        <v>10000.0</v>
      </c>
      <c r="F514" s="92"/>
      <c r="G514" s="200" t="s">
        <v>1131</v>
      </c>
      <c r="H514" s="92"/>
    </row>
    <row r="515">
      <c r="A515" s="92"/>
      <c r="B515" s="351"/>
      <c r="C515" s="71" t="s">
        <v>1697</v>
      </c>
      <c r="D515" s="92"/>
      <c r="E515" s="472">
        <v>20000.0</v>
      </c>
      <c r="F515" s="92"/>
      <c r="G515" s="200" t="s">
        <v>1131</v>
      </c>
      <c r="H515" s="92"/>
    </row>
    <row r="516">
      <c r="A516" s="92"/>
      <c r="B516" s="351">
        <v>46179.0</v>
      </c>
      <c r="C516" s="71" t="s">
        <v>1853</v>
      </c>
      <c r="D516" s="92"/>
      <c r="E516" s="472">
        <v>75000.0</v>
      </c>
      <c r="F516" s="92"/>
      <c r="G516" s="200"/>
      <c r="H516" s="92"/>
    </row>
    <row r="517">
      <c r="A517" s="92"/>
      <c r="B517" s="351">
        <v>46180.0</v>
      </c>
      <c r="C517" s="216" t="s">
        <v>500</v>
      </c>
      <c r="D517" s="92"/>
      <c r="E517" s="472">
        <v>70000.0</v>
      </c>
      <c r="F517" s="92"/>
      <c r="G517" s="200" t="s">
        <v>1635</v>
      </c>
      <c r="H517" s="92"/>
    </row>
    <row r="518">
      <c r="A518" s="92"/>
      <c r="B518" s="92"/>
      <c r="C518" s="366" t="s">
        <v>1305</v>
      </c>
      <c r="D518" s="200" t="s">
        <v>554</v>
      </c>
      <c r="E518" s="473">
        <v>40000.0</v>
      </c>
      <c r="F518" s="92"/>
      <c r="G518" s="200" t="s">
        <v>1635</v>
      </c>
      <c r="H518" s="92"/>
    </row>
    <row r="519">
      <c r="A519" s="206"/>
      <c r="B519" s="195"/>
      <c r="C519" s="366" t="s">
        <v>587</v>
      </c>
      <c r="D519" s="197"/>
      <c r="E519" s="473">
        <v>50000.0</v>
      </c>
      <c r="F519" s="203"/>
      <c r="G519" s="200" t="s">
        <v>1635</v>
      </c>
      <c r="H519" s="208"/>
    </row>
    <row r="520">
      <c r="A520" s="326"/>
      <c r="B520" s="351">
        <v>46181.0</v>
      </c>
      <c r="C520" s="403" t="s">
        <v>1855</v>
      </c>
      <c r="D520" s="330"/>
      <c r="E520" s="457">
        <v>900000.0</v>
      </c>
      <c r="F520" s="330"/>
      <c r="G520" s="407"/>
      <c r="H520" s="40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</row>
    <row r="521">
      <c r="A521" s="326"/>
      <c r="B521" s="351">
        <v>46182.0</v>
      </c>
      <c r="C521" s="327" t="s">
        <v>1859</v>
      </c>
      <c r="D521" s="197" t="s">
        <v>476</v>
      </c>
      <c r="E521" s="473">
        <v>170000.0</v>
      </c>
      <c r="F521" s="330"/>
      <c r="G521" s="331" t="s">
        <v>1860</v>
      </c>
      <c r="H521" s="346" t="s">
        <v>1861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</row>
    <row r="522">
      <c r="A522" s="326"/>
      <c r="B522" s="351">
        <v>46189.0</v>
      </c>
      <c r="C522" s="327" t="s">
        <v>1859</v>
      </c>
      <c r="D522" s="197" t="s">
        <v>476</v>
      </c>
      <c r="E522" s="473">
        <v>100000.0</v>
      </c>
      <c r="F522" s="330"/>
      <c r="G522" s="331" t="s">
        <v>1863</v>
      </c>
      <c r="H522" s="346" t="s">
        <v>1864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</row>
    <row r="523">
      <c r="A523" s="326"/>
      <c r="B523" s="351">
        <v>46189.0</v>
      </c>
      <c r="C523" s="403" t="s">
        <v>1865</v>
      </c>
      <c r="D523" s="330"/>
      <c r="E523" s="441">
        <v>122100.0</v>
      </c>
      <c r="F523" s="330"/>
      <c r="G523" s="407"/>
      <c r="H523" s="40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</row>
    <row r="524">
      <c r="A524" s="206"/>
      <c r="B524" s="351">
        <v>46189.0</v>
      </c>
      <c r="C524" s="205" t="s">
        <v>1866</v>
      </c>
      <c r="D524" s="197"/>
      <c r="E524" s="259">
        <v>166500.0</v>
      </c>
      <c r="F524" s="203"/>
      <c r="G524" s="204"/>
      <c r="H524" s="92"/>
    </row>
    <row r="525">
      <c r="A525" s="206"/>
      <c r="B525" s="351"/>
      <c r="C525" s="217" t="s">
        <v>1868</v>
      </c>
      <c r="D525" s="197"/>
      <c r="E525" s="198">
        <v>300000.0</v>
      </c>
      <c r="F525" s="203"/>
      <c r="G525" s="200"/>
      <c r="H525" s="208"/>
    </row>
    <row r="526">
      <c r="A526" s="245"/>
      <c r="B526" s="497"/>
      <c r="C526" s="247"/>
      <c r="D526" s="248"/>
      <c r="E526" s="249"/>
      <c r="F526" s="249"/>
      <c r="G526" s="251"/>
      <c r="H526" s="394"/>
      <c r="I526" s="254"/>
      <c r="J526" s="254"/>
      <c r="K526" s="254"/>
      <c r="L526" s="254"/>
      <c r="M526" s="254"/>
      <c r="N526" s="254"/>
      <c r="O526" s="254"/>
      <c r="P526" s="254"/>
      <c r="Q526" s="254"/>
      <c r="R526" s="254"/>
      <c r="S526" s="254"/>
      <c r="T526" s="254"/>
      <c r="U526" s="254"/>
      <c r="V526" s="254"/>
      <c r="W526" s="254"/>
      <c r="X526" s="254"/>
      <c r="Y526" s="254"/>
      <c r="Z526" s="254"/>
      <c r="AA526" s="254"/>
      <c r="AB526" s="254"/>
      <c r="AC526" s="254"/>
      <c r="AD526" s="254"/>
      <c r="AE526" s="254"/>
      <c r="AF526" s="254"/>
      <c r="AG526" s="254"/>
      <c r="AH526" s="254"/>
      <c r="AI526" s="254"/>
      <c r="AJ526" s="254"/>
      <c r="AK526" s="254"/>
      <c r="AL526" s="254"/>
      <c r="AM526" s="254"/>
      <c r="AN526" s="254"/>
      <c r="AO526" s="254"/>
      <c r="AP526" s="254"/>
      <c r="AQ526" s="254"/>
      <c r="AR526" s="254"/>
      <c r="AS526" s="254"/>
      <c r="AT526" s="254"/>
    </row>
    <row r="527">
      <c r="A527" s="206"/>
      <c r="B527" s="351">
        <v>46207.0</v>
      </c>
      <c r="C527" s="280" t="s">
        <v>1875</v>
      </c>
      <c r="D527" s="197" t="s">
        <v>1876</v>
      </c>
      <c r="E527" s="514">
        <v>910000.0</v>
      </c>
      <c r="F527" s="203"/>
      <c r="G527" s="200" t="s">
        <v>1447</v>
      </c>
      <c r="H527" s="293" t="s">
        <v>1877</v>
      </c>
    </row>
    <row r="528">
      <c r="A528" s="206"/>
      <c r="B528" s="351"/>
      <c r="C528" s="280" t="s">
        <v>1879</v>
      </c>
      <c r="D528" s="197" t="s">
        <v>476</v>
      </c>
      <c r="E528" s="514">
        <v>0.0</v>
      </c>
      <c r="F528" s="203"/>
      <c r="G528" s="200" t="s">
        <v>1881</v>
      </c>
      <c r="H528" s="208" t="s">
        <v>1882</v>
      </c>
    </row>
    <row r="529">
      <c r="A529" s="206"/>
      <c r="B529" s="351"/>
      <c r="C529" s="71" t="s">
        <v>1883</v>
      </c>
      <c r="D529" s="197" t="s">
        <v>476</v>
      </c>
      <c r="E529" s="514">
        <v>90000.0</v>
      </c>
      <c r="F529" s="203"/>
      <c r="G529" s="200" t="s">
        <v>1447</v>
      </c>
      <c r="H529" s="208"/>
    </row>
    <row r="530">
      <c r="A530" s="206"/>
      <c r="B530" s="351"/>
      <c r="C530" s="71" t="s">
        <v>927</v>
      </c>
      <c r="D530" s="197" t="s">
        <v>449</v>
      </c>
      <c r="E530" s="514">
        <v>120000.0</v>
      </c>
      <c r="F530" s="203"/>
      <c r="G530" s="200" t="s">
        <v>1447</v>
      </c>
      <c r="H530" s="208"/>
    </row>
    <row r="531">
      <c r="A531" s="206"/>
      <c r="B531" s="351"/>
      <c r="C531" s="71" t="s">
        <v>1777</v>
      </c>
      <c r="D531" s="197" t="s">
        <v>476</v>
      </c>
      <c r="E531" s="514">
        <v>350000.0</v>
      </c>
      <c r="F531" s="203"/>
      <c r="G531" s="200" t="s">
        <v>1447</v>
      </c>
      <c r="H531" s="208"/>
    </row>
    <row r="532">
      <c r="A532" s="206"/>
      <c r="B532" s="351"/>
      <c r="C532" s="71" t="s">
        <v>824</v>
      </c>
      <c r="D532" s="197" t="s">
        <v>476</v>
      </c>
      <c r="E532" s="514">
        <v>80000.0</v>
      </c>
      <c r="F532" s="203"/>
      <c r="G532" s="200" t="s">
        <v>1447</v>
      </c>
      <c r="H532" s="208"/>
    </row>
    <row r="533">
      <c r="A533" s="206"/>
      <c r="B533" s="351"/>
      <c r="C533" s="71" t="s">
        <v>1888</v>
      </c>
      <c r="D533" s="197" t="s">
        <v>1011</v>
      </c>
      <c r="E533" s="514">
        <v>200000.0</v>
      </c>
      <c r="F533" s="203"/>
      <c r="G533" s="200" t="s">
        <v>1447</v>
      </c>
      <c r="H533" s="208"/>
    </row>
    <row r="534">
      <c r="A534" s="206"/>
      <c r="B534" s="351"/>
      <c r="C534" s="71" t="s">
        <v>1890</v>
      </c>
      <c r="D534" s="197" t="s">
        <v>476</v>
      </c>
      <c r="E534" s="514">
        <v>150000.0</v>
      </c>
      <c r="F534" s="203"/>
      <c r="G534" s="200" t="s">
        <v>1447</v>
      </c>
      <c r="H534" s="208"/>
    </row>
    <row r="535">
      <c r="A535" s="206"/>
      <c r="B535" s="351"/>
      <c r="C535" s="283" t="s">
        <v>1891</v>
      </c>
      <c r="D535" s="197" t="s">
        <v>476</v>
      </c>
      <c r="E535" s="514">
        <v>100000.0</v>
      </c>
      <c r="F535" s="203"/>
      <c r="G535" s="200" t="s">
        <v>1447</v>
      </c>
      <c r="H535" s="346" t="s">
        <v>1893</v>
      </c>
    </row>
    <row r="536">
      <c r="A536" s="206"/>
      <c r="B536" s="351"/>
      <c r="C536" s="71" t="s">
        <v>1897</v>
      </c>
      <c r="D536" s="197" t="s">
        <v>476</v>
      </c>
      <c r="E536" s="514">
        <v>250000.0</v>
      </c>
      <c r="F536" s="203"/>
      <c r="G536" s="200" t="s">
        <v>1447</v>
      </c>
      <c r="H536" s="208"/>
    </row>
    <row r="537">
      <c r="A537" s="326"/>
      <c r="B537" s="351">
        <v>46211.0</v>
      </c>
      <c r="C537" s="403" t="s">
        <v>1902</v>
      </c>
      <c r="D537" s="330"/>
      <c r="E537" s="457">
        <v>900000.0</v>
      </c>
      <c r="F537" s="330"/>
      <c r="G537" s="407"/>
      <c r="H537" s="40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</row>
    <row r="538">
      <c r="A538" s="206"/>
      <c r="B538" s="351">
        <v>46216.0</v>
      </c>
      <c r="C538" s="211" t="s">
        <v>1906</v>
      </c>
      <c r="D538" s="197" t="s">
        <v>476</v>
      </c>
      <c r="E538" s="514">
        <v>4323780.0</v>
      </c>
      <c r="F538" s="203"/>
      <c r="G538" s="200" t="s">
        <v>470</v>
      </c>
      <c r="H538" s="208"/>
    </row>
    <row r="539">
      <c r="A539" s="206"/>
      <c r="B539" s="351"/>
      <c r="C539" s="211" t="s">
        <v>1906</v>
      </c>
      <c r="D539" s="197" t="s">
        <v>476</v>
      </c>
      <c r="E539" s="514">
        <v>4342150.0</v>
      </c>
      <c r="F539" s="203"/>
      <c r="G539" s="200" t="s">
        <v>470</v>
      </c>
      <c r="H539" s="208"/>
    </row>
    <row r="540">
      <c r="A540" s="206"/>
      <c r="B540" s="351">
        <v>46216.0</v>
      </c>
      <c r="C540" s="71" t="s">
        <v>1908</v>
      </c>
      <c r="D540" s="197" t="s">
        <v>449</v>
      </c>
      <c r="E540" s="514">
        <v>80000.0</v>
      </c>
      <c r="F540" s="203" t="s">
        <v>1910</v>
      </c>
      <c r="G540" s="200"/>
      <c r="H540" s="208"/>
    </row>
    <row r="541">
      <c r="A541" s="206"/>
      <c r="B541" s="351"/>
      <c r="C541" s="71" t="s">
        <v>1039</v>
      </c>
      <c r="D541" s="197" t="s">
        <v>449</v>
      </c>
      <c r="E541" s="514">
        <v>60000.0</v>
      </c>
      <c r="F541" s="203" t="s">
        <v>1910</v>
      </c>
      <c r="G541" s="200"/>
      <c r="H541" s="208"/>
    </row>
    <row r="542">
      <c r="A542" s="206"/>
      <c r="B542" s="351"/>
      <c r="C542" s="71" t="s">
        <v>1911</v>
      </c>
      <c r="D542" s="197"/>
      <c r="E542" s="514">
        <v>50000.0</v>
      </c>
      <c r="F542" s="203" t="s">
        <v>1910</v>
      </c>
      <c r="G542" s="200"/>
      <c r="H542" s="208"/>
    </row>
    <row r="543">
      <c r="A543" s="206"/>
      <c r="B543" s="351"/>
      <c r="C543" s="71" t="s">
        <v>545</v>
      </c>
      <c r="D543" s="197"/>
      <c r="E543" s="514">
        <v>20000.0</v>
      </c>
      <c r="F543" s="203" t="s">
        <v>1910</v>
      </c>
      <c r="G543" s="200"/>
      <c r="H543" s="208"/>
    </row>
    <row r="544">
      <c r="A544" s="206"/>
      <c r="B544" s="351"/>
      <c r="C544" s="71" t="s">
        <v>1912</v>
      </c>
      <c r="D544" s="197"/>
      <c r="E544" s="514">
        <v>10000.0</v>
      </c>
      <c r="F544" s="203" t="s">
        <v>1910</v>
      </c>
      <c r="G544" s="200"/>
      <c r="H544" s="208"/>
    </row>
    <row r="545">
      <c r="A545" s="206"/>
      <c r="B545" s="351"/>
      <c r="C545" s="71" t="s">
        <v>1697</v>
      </c>
      <c r="D545" s="197"/>
      <c r="E545" s="514">
        <v>20000.0</v>
      </c>
      <c r="F545" s="203" t="s">
        <v>1910</v>
      </c>
      <c r="G545" s="200"/>
      <c r="H545" s="208"/>
    </row>
    <row r="546">
      <c r="A546" s="206"/>
      <c r="B546" s="351">
        <v>46219.0</v>
      </c>
      <c r="C546" s="216" t="s">
        <v>1913</v>
      </c>
      <c r="D546" s="197"/>
      <c r="E546" s="514">
        <v>120000.0</v>
      </c>
      <c r="F546" s="203"/>
      <c r="G546" s="200" t="s">
        <v>1635</v>
      </c>
      <c r="H546" s="208"/>
    </row>
    <row r="547">
      <c r="A547" s="326"/>
      <c r="B547" s="351">
        <v>46219.0</v>
      </c>
      <c r="C547" s="403" t="s">
        <v>1914</v>
      </c>
      <c r="D547" s="330"/>
      <c r="E547" s="441">
        <v>122100.0</v>
      </c>
      <c r="F547" s="330"/>
      <c r="G547" s="407"/>
      <c r="H547" s="40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</row>
    <row r="548">
      <c r="A548" s="206"/>
      <c r="B548" s="351">
        <v>46219.0</v>
      </c>
      <c r="C548" s="205" t="s">
        <v>1916</v>
      </c>
      <c r="D548" s="197"/>
      <c r="E548" s="259">
        <v>166500.0</v>
      </c>
      <c r="F548" s="203"/>
      <c r="G548" s="204"/>
      <c r="H548" s="92"/>
    </row>
    <row r="549">
      <c r="A549" s="206"/>
      <c r="B549" s="351">
        <v>46219.0</v>
      </c>
      <c r="C549" s="71" t="s">
        <v>1917</v>
      </c>
      <c r="D549" s="197" t="s">
        <v>449</v>
      </c>
      <c r="E549" s="514">
        <v>100000.0</v>
      </c>
      <c r="F549" s="203"/>
      <c r="G549" s="200" t="s">
        <v>1918</v>
      </c>
      <c r="H549" s="208"/>
    </row>
    <row r="550">
      <c r="A550" s="206"/>
      <c r="B550" s="351">
        <v>46223.0</v>
      </c>
      <c r="C550" s="71" t="s">
        <v>1919</v>
      </c>
      <c r="D550" s="197" t="s">
        <v>449</v>
      </c>
      <c r="E550" s="514">
        <v>400000.0</v>
      </c>
      <c r="F550" s="203"/>
      <c r="G550" s="200" t="s">
        <v>1598</v>
      </c>
      <c r="H550" s="208" t="s">
        <v>1920</v>
      </c>
    </row>
    <row r="551">
      <c r="A551" s="206"/>
      <c r="B551" s="351"/>
      <c r="C551" s="71" t="s">
        <v>1922</v>
      </c>
      <c r="D551" s="197" t="s">
        <v>449</v>
      </c>
      <c r="E551" s="514">
        <v>100000.0</v>
      </c>
      <c r="F551" s="203"/>
      <c r="G551" s="200" t="s">
        <v>1923</v>
      </c>
      <c r="H551" s="208"/>
    </row>
    <row r="552">
      <c r="A552" s="206"/>
      <c r="B552" s="351"/>
      <c r="C552" s="71" t="s">
        <v>1926</v>
      </c>
      <c r="D552" s="197" t="s">
        <v>476</v>
      </c>
      <c r="E552" s="514">
        <v>100000.0</v>
      </c>
      <c r="F552" s="203"/>
      <c r="G552" s="200" t="s">
        <v>1923</v>
      </c>
      <c r="H552" s="208" t="s">
        <v>1928</v>
      </c>
    </row>
    <row r="553">
      <c r="A553" s="206"/>
      <c r="B553" s="351"/>
      <c r="C553" s="71" t="s">
        <v>1929</v>
      </c>
      <c r="D553" s="197" t="s">
        <v>476</v>
      </c>
      <c r="E553" s="514">
        <v>100000.0</v>
      </c>
      <c r="F553" s="203"/>
      <c r="G553" s="200" t="s">
        <v>1923</v>
      </c>
      <c r="H553" s="208"/>
    </row>
    <row r="554">
      <c r="A554" s="206"/>
      <c r="B554" s="351">
        <v>46225.0</v>
      </c>
      <c r="C554" s="71" t="s">
        <v>1932</v>
      </c>
      <c r="D554" s="197"/>
      <c r="E554" s="514">
        <v>380000.0</v>
      </c>
      <c r="F554" s="203"/>
      <c r="G554" s="200" t="s">
        <v>1933</v>
      </c>
      <c r="H554" s="208"/>
    </row>
    <row r="555">
      <c r="A555" s="206"/>
      <c r="B555" s="351">
        <v>46226.0</v>
      </c>
      <c r="C555" s="71" t="s">
        <v>684</v>
      </c>
      <c r="D555" s="197" t="s">
        <v>482</v>
      </c>
      <c r="E555" s="514">
        <v>158710.0</v>
      </c>
      <c r="F555" s="203"/>
      <c r="G555" s="200" t="s">
        <v>470</v>
      </c>
      <c r="H555" s="208" t="s">
        <v>1934</v>
      </c>
    </row>
    <row r="556">
      <c r="A556" s="206"/>
      <c r="B556" s="351">
        <v>46226.0</v>
      </c>
      <c r="C556" s="71" t="s">
        <v>1935</v>
      </c>
      <c r="D556" s="197" t="s">
        <v>476</v>
      </c>
      <c r="E556" s="514">
        <v>1000000.0</v>
      </c>
      <c r="F556" s="203"/>
      <c r="G556" s="200" t="s">
        <v>582</v>
      </c>
      <c r="H556" s="208"/>
    </row>
    <row r="557">
      <c r="A557" s="206"/>
      <c r="B557" s="351"/>
      <c r="C557" s="71" t="s">
        <v>1937</v>
      </c>
      <c r="D557" s="197" t="s">
        <v>476</v>
      </c>
      <c r="E557" s="514">
        <v>45000.0</v>
      </c>
      <c r="F557" s="203"/>
      <c r="G557" s="200" t="s">
        <v>582</v>
      </c>
      <c r="H557" s="208"/>
    </row>
    <row r="558">
      <c r="A558" s="206"/>
      <c r="B558" s="351"/>
      <c r="C558" s="71" t="s">
        <v>1938</v>
      </c>
      <c r="D558" s="197" t="s">
        <v>449</v>
      </c>
      <c r="E558" s="514">
        <v>70000.0</v>
      </c>
      <c r="F558" s="203"/>
      <c r="G558" s="200" t="s">
        <v>582</v>
      </c>
      <c r="H558" s="208"/>
    </row>
    <row r="559">
      <c r="A559" s="206"/>
      <c r="B559" s="351"/>
      <c r="C559" s="71" t="s">
        <v>1024</v>
      </c>
      <c r="D559" s="197"/>
      <c r="E559" s="514">
        <v>85000.0</v>
      </c>
      <c r="F559" s="203"/>
      <c r="G559" s="200" t="s">
        <v>582</v>
      </c>
      <c r="H559" s="208"/>
    </row>
    <row r="560">
      <c r="A560" s="206"/>
      <c r="B560" s="351"/>
      <c r="C560" s="71" t="s">
        <v>1946</v>
      </c>
      <c r="D560" s="197"/>
      <c r="E560" s="514">
        <v>1200000.0</v>
      </c>
      <c r="F560" s="203"/>
      <c r="G560" s="200" t="s">
        <v>1950</v>
      </c>
      <c r="H560" s="208"/>
    </row>
    <row r="561">
      <c r="A561" s="206"/>
      <c r="B561" s="351"/>
      <c r="C561" s="71" t="s">
        <v>1952</v>
      </c>
      <c r="D561" s="197"/>
      <c r="E561" s="514">
        <v>95000.0</v>
      </c>
      <c r="F561" s="203"/>
      <c r="G561" s="200" t="s">
        <v>1950</v>
      </c>
      <c r="H561" s="208"/>
    </row>
    <row r="562">
      <c r="A562" s="206"/>
      <c r="B562" s="351"/>
      <c r="C562" s="71" t="s">
        <v>1959</v>
      </c>
      <c r="D562" s="197"/>
      <c r="E562" s="514">
        <v>20000.0</v>
      </c>
      <c r="F562" s="203"/>
      <c r="G562" s="200" t="s">
        <v>1950</v>
      </c>
      <c r="H562" s="208"/>
    </row>
    <row r="563">
      <c r="A563" s="206"/>
      <c r="B563" s="351">
        <v>46228.0</v>
      </c>
      <c r="C563" s="71" t="s">
        <v>1963</v>
      </c>
      <c r="D563" s="197" t="s">
        <v>541</v>
      </c>
      <c r="E563" s="514">
        <v>195000.0</v>
      </c>
      <c r="F563" s="92"/>
      <c r="G563" s="197" t="s">
        <v>1451</v>
      </c>
      <c r="H563" s="200"/>
    </row>
    <row r="564">
      <c r="A564" s="206"/>
      <c r="B564" s="351"/>
      <c r="C564" s="71" t="s">
        <v>1965</v>
      </c>
      <c r="D564" s="197" t="s">
        <v>482</v>
      </c>
      <c r="E564" s="514">
        <v>150000.0</v>
      </c>
      <c r="F564" s="92"/>
      <c r="G564" s="197" t="s">
        <v>1451</v>
      </c>
      <c r="H564" s="538" t="s">
        <v>1968</v>
      </c>
    </row>
    <row r="565">
      <c r="A565" s="206"/>
      <c r="B565" s="351">
        <v>46229.0</v>
      </c>
      <c r="C565" s="71" t="s">
        <v>1974</v>
      </c>
      <c r="D565" s="197" t="s">
        <v>449</v>
      </c>
      <c r="E565" s="514">
        <v>400000.0</v>
      </c>
      <c r="F565" s="203"/>
      <c r="G565" s="200" t="s">
        <v>1923</v>
      </c>
      <c r="H565" s="208"/>
    </row>
    <row r="566">
      <c r="A566" s="206"/>
      <c r="B566" s="351"/>
      <c r="C566" s="71" t="s">
        <v>1977</v>
      </c>
      <c r="D566" s="197" t="s">
        <v>476</v>
      </c>
      <c r="E566" s="514">
        <v>50000.0</v>
      </c>
      <c r="F566" s="203"/>
      <c r="G566" s="200" t="s">
        <v>1923</v>
      </c>
      <c r="H566" s="208"/>
    </row>
    <row r="567">
      <c r="A567" s="206"/>
      <c r="B567" s="351">
        <v>46230.0</v>
      </c>
      <c r="C567" s="71" t="s">
        <v>1981</v>
      </c>
      <c r="D567" s="197"/>
      <c r="E567" s="514">
        <v>60000.0</v>
      </c>
      <c r="F567" s="203"/>
      <c r="G567" s="200" t="s">
        <v>1982</v>
      </c>
      <c r="H567" s="208"/>
    </row>
    <row r="568">
      <c r="A568" s="245"/>
      <c r="B568" s="497"/>
      <c r="C568" s="247"/>
      <c r="D568" s="248"/>
      <c r="E568" s="249"/>
      <c r="F568" s="249"/>
      <c r="G568" s="251"/>
      <c r="H568" s="394"/>
      <c r="I568" s="254"/>
      <c r="J568" s="254"/>
      <c r="K568" s="254"/>
      <c r="L568" s="254"/>
      <c r="M568" s="254"/>
      <c r="N568" s="254"/>
      <c r="O568" s="254"/>
      <c r="P568" s="254"/>
      <c r="Q568" s="254"/>
      <c r="R568" s="254"/>
      <c r="S568" s="254"/>
      <c r="T568" s="254"/>
      <c r="U568" s="254"/>
      <c r="V568" s="254"/>
      <c r="W568" s="254"/>
      <c r="X568" s="254"/>
      <c r="Y568" s="254"/>
      <c r="Z568" s="254"/>
      <c r="AA568" s="254"/>
      <c r="AB568" s="254"/>
      <c r="AC568" s="254"/>
      <c r="AD568" s="254"/>
      <c r="AE568" s="254"/>
      <c r="AF568" s="254"/>
      <c r="AG568" s="254"/>
      <c r="AH568" s="254"/>
      <c r="AI568" s="254"/>
      <c r="AJ568" s="254"/>
      <c r="AK568" s="254"/>
      <c r="AL568" s="254"/>
      <c r="AM568" s="254"/>
      <c r="AN568" s="254"/>
      <c r="AO568" s="254"/>
      <c r="AP568" s="254"/>
      <c r="AQ568" s="254"/>
      <c r="AR568" s="254"/>
      <c r="AS568" s="254"/>
      <c r="AT568" s="254"/>
    </row>
    <row r="569">
      <c r="A569" s="206"/>
      <c r="B569" s="351"/>
      <c r="C569" s="71"/>
      <c r="D569" s="197"/>
      <c r="E569" s="203"/>
      <c r="F569" s="203"/>
      <c r="G569" s="200"/>
      <c r="H569" s="208"/>
    </row>
    <row r="570">
      <c r="A570" s="206"/>
      <c r="B570" s="351">
        <v>46242.0</v>
      </c>
      <c r="C570" s="71" t="s">
        <v>1994</v>
      </c>
      <c r="D570" s="197" t="s">
        <v>449</v>
      </c>
      <c r="E570" s="203">
        <v>80000.0</v>
      </c>
      <c r="F570" s="203"/>
      <c r="G570" s="200" t="s">
        <v>1996</v>
      </c>
      <c r="H570" s="208"/>
    </row>
    <row r="571">
      <c r="A571" s="206"/>
      <c r="B571" s="351"/>
      <c r="C571" s="71"/>
      <c r="D571" s="197"/>
      <c r="E571" s="203"/>
      <c r="F571" s="203"/>
      <c r="G571" s="200"/>
      <c r="H571" s="208"/>
    </row>
    <row r="572">
      <c r="A572" s="206"/>
      <c r="B572" s="351">
        <v>46207.0</v>
      </c>
      <c r="C572" s="280" t="s">
        <v>1875</v>
      </c>
      <c r="D572" s="197" t="s">
        <v>1876</v>
      </c>
      <c r="E572" s="514">
        <v>910000.0</v>
      </c>
      <c r="F572" s="203"/>
      <c r="G572" s="200" t="s">
        <v>1447</v>
      </c>
      <c r="H572" s="293" t="s">
        <v>1877</v>
      </c>
    </row>
    <row r="573">
      <c r="A573" s="206"/>
      <c r="B573" s="351"/>
      <c r="C573" s="71"/>
      <c r="D573" s="197"/>
      <c r="E573" s="514"/>
      <c r="F573" s="203"/>
      <c r="G573" s="200"/>
      <c r="H573" s="293"/>
    </row>
    <row r="574">
      <c r="A574" s="326"/>
      <c r="B574" s="351">
        <v>46250.0</v>
      </c>
      <c r="C574" s="403" t="s">
        <v>2003</v>
      </c>
      <c r="D574" s="330"/>
      <c r="E574" s="441">
        <v>122100.0</v>
      </c>
      <c r="F574" s="330"/>
      <c r="G574" s="407"/>
      <c r="H574" s="40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</row>
    <row r="575">
      <c r="A575" s="206"/>
      <c r="B575" s="351">
        <v>46250.0</v>
      </c>
      <c r="C575" s="205" t="s">
        <v>2008</v>
      </c>
      <c r="D575" s="197"/>
      <c r="E575" s="259">
        <v>166500.0</v>
      </c>
      <c r="F575" s="203"/>
      <c r="G575" s="204"/>
      <c r="H575" s="208" t="s">
        <v>2009</v>
      </c>
    </row>
    <row r="576">
      <c r="A576" s="206"/>
      <c r="B576" s="351"/>
      <c r="C576" s="71"/>
      <c r="D576" s="197"/>
      <c r="E576" s="514"/>
      <c r="F576" s="203"/>
      <c r="G576" s="200"/>
      <c r="H576" s="293"/>
    </row>
    <row r="577">
      <c r="A577" s="206"/>
      <c r="B577" s="351"/>
      <c r="C577" s="71"/>
      <c r="D577" s="197"/>
      <c r="E577" s="514"/>
      <c r="F577" s="203"/>
      <c r="G577" s="200"/>
      <c r="H577" s="293"/>
    </row>
    <row r="578">
      <c r="A578" s="206"/>
      <c r="B578" s="351"/>
      <c r="C578" s="71"/>
      <c r="D578" s="197"/>
      <c r="E578" s="514"/>
      <c r="F578" s="203"/>
      <c r="G578" s="200"/>
      <c r="H578" s="293"/>
    </row>
    <row r="579">
      <c r="A579" s="206"/>
      <c r="B579" s="351"/>
      <c r="C579" s="71"/>
      <c r="D579" s="197"/>
      <c r="E579" s="514"/>
      <c r="F579" s="203"/>
      <c r="G579" s="200"/>
      <c r="H579" s="293"/>
    </row>
    <row r="580">
      <c r="A580" s="206"/>
      <c r="B580" s="351"/>
      <c r="C580" s="71"/>
      <c r="D580" s="197"/>
      <c r="E580" s="514"/>
      <c r="F580" s="203"/>
      <c r="G580" s="200"/>
      <c r="H580" s="293"/>
    </row>
    <row r="581">
      <c r="A581" s="206"/>
      <c r="B581" s="351"/>
      <c r="C581" s="71"/>
      <c r="D581" s="197"/>
      <c r="E581" s="514"/>
      <c r="F581" s="203"/>
      <c r="G581" s="200"/>
      <c r="H581" s="293"/>
    </row>
    <row r="582">
      <c r="A582" s="206"/>
      <c r="B582" s="351"/>
      <c r="C582" s="71"/>
      <c r="D582" s="197"/>
      <c r="E582" s="514"/>
      <c r="F582" s="203"/>
      <c r="G582" s="200"/>
      <c r="H582" s="293"/>
    </row>
    <row r="583">
      <c r="A583" s="206"/>
      <c r="B583" s="351"/>
      <c r="C583" s="71"/>
      <c r="D583" s="197"/>
      <c r="E583" s="514"/>
      <c r="F583" s="203"/>
      <c r="G583" s="200"/>
      <c r="H583" s="293"/>
    </row>
    <row r="584">
      <c r="A584" s="245"/>
      <c r="B584" s="497"/>
      <c r="C584" s="247"/>
      <c r="D584" s="248"/>
      <c r="E584" s="249"/>
      <c r="F584" s="249"/>
      <c r="G584" s="251"/>
      <c r="H584" s="394"/>
      <c r="I584" s="254"/>
      <c r="J584" s="254"/>
      <c r="K584" s="254"/>
      <c r="L584" s="254"/>
      <c r="M584" s="254"/>
      <c r="N584" s="254"/>
      <c r="O584" s="254"/>
      <c r="P584" s="254"/>
      <c r="Q584" s="254"/>
      <c r="R584" s="254"/>
      <c r="S584" s="254"/>
      <c r="T584" s="254"/>
      <c r="U584" s="254"/>
      <c r="V584" s="254"/>
      <c r="W584" s="254"/>
      <c r="X584" s="254"/>
      <c r="Y584" s="254"/>
      <c r="Z584" s="254"/>
      <c r="AA584" s="254"/>
      <c r="AB584" s="254"/>
      <c r="AC584" s="254"/>
      <c r="AD584" s="254"/>
      <c r="AE584" s="254"/>
      <c r="AF584" s="254"/>
      <c r="AG584" s="254"/>
      <c r="AH584" s="254"/>
      <c r="AI584" s="254"/>
      <c r="AJ584" s="254"/>
      <c r="AK584" s="254"/>
      <c r="AL584" s="254"/>
      <c r="AM584" s="254"/>
      <c r="AN584" s="254"/>
      <c r="AO584" s="254"/>
      <c r="AP584" s="254"/>
      <c r="AQ584" s="254"/>
      <c r="AR584" s="254"/>
      <c r="AS584" s="254"/>
      <c r="AT584" s="254"/>
    </row>
    <row r="585">
      <c r="A585" s="206"/>
      <c r="B585" s="351">
        <v>46266.0</v>
      </c>
      <c r="C585" s="71" t="s">
        <v>948</v>
      </c>
      <c r="D585" s="197"/>
      <c r="E585" s="203">
        <v>20000.0</v>
      </c>
      <c r="F585" s="203"/>
      <c r="G585" s="200" t="s">
        <v>1451</v>
      </c>
      <c r="H585" s="208"/>
    </row>
    <row r="586">
      <c r="A586" s="206"/>
      <c r="B586" s="351"/>
      <c r="C586" s="71" t="s">
        <v>943</v>
      </c>
      <c r="D586" s="197"/>
      <c r="E586" s="514">
        <v>10000.0</v>
      </c>
      <c r="F586" s="203"/>
      <c r="G586" s="200" t="s">
        <v>1451</v>
      </c>
      <c r="H586" s="293"/>
    </row>
    <row r="587">
      <c r="A587" s="206"/>
      <c r="B587" s="351"/>
      <c r="C587" s="71" t="s">
        <v>802</v>
      </c>
      <c r="D587" s="197"/>
      <c r="E587" s="514">
        <v>20000.0</v>
      </c>
      <c r="F587" s="203"/>
      <c r="G587" s="200" t="s">
        <v>1451</v>
      </c>
      <c r="H587" s="293"/>
    </row>
    <row r="588">
      <c r="A588" s="206"/>
      <c r="B588" s="351">
        <v>46266.0</v>
      </c>
      <c r="C588" s="71" t="s">
        <v>2029</v>
      </c>
      <c r="D588" s="197"/>
      <c r="E588" s="514">
        <v>150000.0</v>
      </c>
      <c r="F588" s="203"/>
      <c r="G588" s="200" t="s">
        <v>606</v>
      </c>
      <c r="H588" s="293"/>
    </row>
    <row r="589">
      <c r="A589" s="206"/>
      <c r="B589" s="351"/>
      <c r="C589" s="71" t="s">
        <v>2031</v>
      </c>
      <c r="D589" s="197"/>
      <c r="E589" s="514"/>
      <c r="F589" s="203"/>
      <c r="G589" s="200" t="s">
        <v>606</v>
      </c>
      <c r="H589" s="293"/>
    </row>
    <row r="590">
      <c r="A590" s="206"/>
      <c r="B590" s="351"/>
      <c r="C590" s="71"/>
      <c r="D590" s="197"/>
      <c r="E590" s="514"/>
      <c r="F590" s="203"/>
      <c r="G590" s="200"/>
      <c r="H590" s="293"/>
    </row>
    <row r="591">
      <c r="A591" s="206"/>
      <c r="B591" s="351">
        <v>46267.0</v>
      </c>
      <c r="C591" s="71" t="s">
        <v>2036</v>
      </c>
      <c r="D591" s="197"/>
      <c r="E591" s="203">
        <v>45000.0</v>
      </c>
      <c r="F591" s="203"/>
      <c r="G591" s="200"/>
      <c r="H591" s="208"/>
    </row>
    <row r="592">
      <c r="A592" s="206"/>
      <c r="B592" s="351"/>
      <c r="C592" s="559" t="s">
        <v>2039</v>
      </c>
      <c r="D592" s="197"/>
      <c r="E592" s="514">
        <v>200000.0</v>
      </c>
      <c r="F592" s="203"/>
      <c r="G592" s="200"/>
      <c r="H592" s="293"/>
    </row>
    <row r="593">
      <c r="A593" s="206"/>
      <c r="B593" s="351"/>
      <c r="C593" s="71"/>
      <c r="D593" s="197"/>
      <c r="E593" s="203"/>
      <c r="F593" s="203"/>
      <c r="G593" s="200"/>
      <c r="H593" s="208"/>
    </row>
    <row r="594">
      <c r="A594" s="206"/>
      <c r="B594" s="351"/>
      <c r="C594" s="71"/>
      <c r="D594" s="197"/>
      <c r="E594" s="514"/>
      <c r="F594" s="203"/>
      <c r="G594" s="200"/>
      <c r="H594" s="293"/>
    </row>
    <row r="595">
      <c r="A595" s="206"/>
      <c r="B595" s="351"/>
      <c r="C595" s="71"/>
      <c r="D595" s="197"/>
      <c r="E595" s="514"/>
      <c r="F595" s="203"/>
      <c r="G595" s="200"/>
      <c r="H595" s="293"/>
    </row>
    <row r="596">
      <c r="A596" s="92"/>
      <c r="B596" s="92"/>
      <c r="C596" s="92"/>
      <c r="D596" s="562"/>
      <c r="E596" s="563"/>
      <c r="F596" s="92"/>
      <c r="G596" s="92"/>
      <c r="H596" s="92"/>
    </row>
    <row r="597">
      <c r="A597" s="92"/>
      <c r="B597" s="92"/>
      <c r="C597" s="92"/>
      <c r="D597" s="562"/>
      <c r="E597" s="563"/>
      <c r="F597" s="92"/>
      <c r="G597" s="92"/>
      <c r="H597" s="92"/>
    </row>
    <row r="598">
      <c r="A598" s="92"/>
      <c r="B598" s="92"/>
      <c r="C598" s="92"/>
      <c r="D598" s="562"/>
      <c r="E598" s="563"/>
      <c r="F598" s="92"/>
      <c r="G598" s="92"/>
      <c r="H598" s="92"/>
    </row>
    <row r="599">
      <c r="A599" s="92"/>
      <c r="B599" s="92"/>
      <c r="C599" s="92"/>
      <c r="D599" s="562"/>
      <c r="E599" s="563"/>
      <c r="F599" s="92"/>
      <c r="G599" s="92"/>
      <c r="H599" s="92"/>
    </row>
    <row r="600">
      <c r="A600" s="92"/>
      <c r="B600" s="92"/>
      <c r="C600" s="92"/>
      <c r="D600" s="562"/>
      <c r="E600" s="563"/>
      <c r="F600" s="92"/>
      <c r="G600" s="92"/>
      <c r="H600" s="92"/>
    </row>
    <row r="601">
      <c r="A601" s="92"/>
      <c r="B601" s="92"/>
      <c r="C601" s="92"/>
      <c r="D601" s="562"/>
      <c r="E601" s="563"/>
      <c r="F601" s="92"/>
      <c r="G601" s="92"/>
      <c r="H601" s="92"/>
    </row>
    <row r="602">
      <c r="A602" s="92"/>
      <c r="B602" s="92"/>
      <c r="C602" s="92"/>
      <c r="D602" s="562"/>
      <c r="E602" s="563"/>
      <c r="F602" s="92"/>
      <c r="G602" s="92"/>
      <c r="H602" s="92"/>
    </row>
    <row r="603">
      <c r="A603" s="92"/>
      <c r="B603" s="92"/>
      <c r="C603" s="92"/>
      <c r="D603" s="562"/>
      <c r="E603" s="563"/>
      <c r="F603" s="92"/>
      <c r="G603" s="92"/>
      <c r="H603" s="92"/>
    </row>
    <row r="604">
      <c r="A604" s="92"/>
      <c r="B604" s="92"/>
      <c r="C604" s="92"/>
      <c r="D604" s="562"/>
      <c r="E604" s="563"/>
      <c r="F604" s="92"/>
      <c r="G604" s="92"/>
      <c r="H604" s="92"/>
    </row>
    <row r="605">
      <c r="A605" s="92"/>
      <c r="B605" s="92"/>
      <c r="C605" s="92"/>
      <c r="D605" s="562" t="s">
        <v>2057</v>
      </c>
      <c r="E605" s="566">
        <f>E572+F572</f>
        <v>910000</v>
      </c>
      <c r="F605" s="92"/>
      <c r="G605" s="92"/>
      <c r="H605" s="92"/>
    </row>
    <row r="606">
      <c r="D606" s="568"/>
      <c r="E606" s="569"/>
    </row>
    <row r="607">
      <c r="D607" s="286" t="s">
        <v>2060</v>
      </c>
      <c r="E607" s="570">
        <f>sum(E3,E9:E10,E12,E54,E56,E131)</f>
        <v>530000000</v>
      </c>
    </row>
    <row r="608">
      <c r="D608" s="286" t="s">
        <v>2061</v>
      </c>
      <c r="E608" s="571">
        <f>sum(E2,E6:F8,E30:E31,E36)</f>
        <v>14340000</v>
      </c>
      <c r="F608" s="572">
        <f>SUM(F2:F187)</f>
        <v>47500</v>
      </c>
    </row>
    <row r="609">
      <c r="D609" s="286" t="s">
        <v>2065</v>
      </c>
      <c r="E609" s="571">
        <f>sum(E5)</f>
        <v>850000</v>
      </c>
    </row>
    <row r="610">
      <c r="D610" s="568" t="s">
        <v>1978</v>
      </c>
      <c r="E610" s="573">
        <f>SUM(E4,E11,E13:E29,E32:E35,E38:E53,E55,E58:E92,E94:E97)</f>
        <v>31739698</v>
      </c>
    </row>
    <row r="611">
      <c r="D611" s="568" t="s">
        <v>1986</v>
      </c>
      <c r="E611" s="574">
        <f>SUM(E99:E130,E132:E149)</f>
        <v>6610600</v>
      </c>
    </row>
    <row r="612">
      <c r="D612" s="568" t="s">
        <v>2068</v>
      </c>
      <c r="E612" s="576">
        <f>SUM(E151:E187)</f>
        <v>6440900</v>
      </c>
    </row>
    <row r="613">
      <c r="D613" s="568" t="s">
        <v>2071</v>
      </c>
      <c r="E613" s="579">
        <f>SUM(E189:E216,E218:E239)-E217</f>
        <v>7551152</v>
      </c>
    </row>
    <row r="614">
      <c r="D614" s="568" t="s">
        <v>1936</v>
      </c>
      <c r="E614" s="580">
        <f>SUM(E241:E244,E247:E289,E291:E304)-E290</f>
        <v>12600977.01</v>
      </c>
      <c r="F614" s="582" t="s">
        <v>2072</v>
      </c>
      <c r="G614" s="69"/>
    </row>
    <row r="615">
      <c r="D615" s="286" t="s">
        <v>1942</v>
      </c>
      <c r="E615" s="583">
        <f>SUM(E306:E339)</f>
        <v>3490939</v>
      </c>
      <c r="F615" s="535">
        <f>5000000-E615</f>
        <v>1509061</v>
      </c>
    </row>
    <row r="616">
      <c r="D616" s="286" t="s">
        <v>2028</v>
      </c>
      <c r="E616" s="585">
        <f>SUM(E341:E367)</f>
        <v>6543600</v>
      </c>
      <c r="F616" s="535">
        <f>1509061-E616</f>
        <v>-5034539</v>
      </c>
    </row>
    <row r="617">
      <c r="D617" s="586">
        <v>46023.0</v>
      </c>
      <c r="E617" s="588">
        <f>SUM(E369:E391)</f>
        <v>7668600</v>
      </c>
    </row>
    <row r="618">
      <c r="D618" s="586">
        <v>46054.0</v>
      </c>
      <c r="E618" s="589">
        <f>SUM(E393:E415)</f>
        <v>10702600</v>
      </c>
    </row>
    <row r="619">
      <c r="D619" s="586">
        <v>46082.0</v>
      </c>
      <c r="E619" s="591">
        <f>SUM(E417:E442,E445:E453)-E444</f>
        <v>4725600</v>
      </c>
    </row>
    <row r="620">
      <c r="D620" s="586">
        <v>46113.0</v>
      </c>
      <c r="E620" s="593">
        <f>SUM(E455:E484)</f>
        <v>2773600</v>
      </c>
    </row>
    <row r="621">
      <c r="D621" s="586">
        <v>46143.0</v>
      </c>
      <c r="E621" s="595">
        <f>SUM(E486:E510)</f>
        <v>12058600</v>
      </c>
    </row>
    <row r="622">
      <c r="D622" s="586">
        <v>46174.0</v>
      </c>
      <c r="E622" s="591">
        <f>SUM(E512:E524)-E525</f>
        <v>1458600</v>
      </c>
      <c r="F622" s="535">
        <f>5000000-E622</f>
        <v>3541400</v>
      </c>
      <c r="G622" s="582" t="s">
        <v>2074</v>
      </c>
    </row>
    <row r="623">
      <c r="D623" s="586">
        <v>46204.0</v>
      </c>
      <c r="E623" s="598">
        <f>SUM(E527:E567)-F622</f>
        <v>13631840</v>
      </c>
    </row>
    <row r="624">
      <c r="D624" s="586">
        <v>46235.0</v>
      </c>
      <c r="E624" s="595">
        <f>SUM(E569:E571)</f>
        <v>80000</v>
      </c>
    </row>
    <row r="625">
      <c r="D625" s="586">
        <v>46266.0</v>
      </c>
      <c r="E625" s="595">
        <f>SUM(E591:E599)</f>
        <v>245000</v>
      </c>
    </row>
    <row r="629">
      <c r="D629" s="286" t="s">
        <v>2075</v>
      </c>
      <c r="E629" s="601">
        <f>sum(E607:E624)+F608</f>
        <v>673314806</v>
      </c>
      <c r="G629" s="69" t="s">
        <v>2076</v>
      </c>
      <c r="H629" s="69" t="s">
        <v>2076</v>
      </c>
    </row>
    <row r="630">
      <c r="D630" s="602" t="s">
        <v>2077</v>
      </c>
      <c r="E630" s="603">
        <f>SUM(E132:E187)</f>
        <v>8496400</v>
      </c>
      <c r="G630" s="213">
        <f>SUM(E455:E482)</f>
        <v>2723600</v>
      </c>
      <c r="H630" s="605">
        <f>SUM(E483:E484)</f>
        <v>50000</v>
      </c>
    </row>
    <row r="631">
      <c r="D631" s="606" t="s">
        <v>2078</v>
      </c>
      <c r="E631" s="588">
        <f>SUM(E629-E630)</f>
        <v>664818406</v>
      </c>
    </row>
    <row r="632">
      <c r="D632" s="606" t="s">
        <v>2080</v>
      </c>
      <c r="E632" s="588">
        <f>SUM(E630:E631)</f>
        <v>673314806</v>
      </c>
    </row>
    <row r="633">
      <c r="D633" s="231"/>
    </row>
    <row r="634">
      <c r="D634" s="602" t="s">
        <v>2081</v>
      </c>
      <c r="E634" s="603">
        <f>SUM(E236:E239)</f>
        <v>680000</v>
      </c>
    </row>
    <row r="635">
      <c r="D635" s="610"/>
      <c r="E635" s="569"/>
    </row>
    <row r="643">
      <c r="D643" s="610"/>
      <c r="E643" s="569"/>
    </row>
    <row r="644">
      <c r="D644" s="610"/>
      <c r="E644" s="569"/>
    </row>
    <row r="645">
      <c r="D645" s="610"/>
      <c r="E645" s="569"/>
    </row>
    <row r="646">
      <c r="D646" s="610"/>
      <c r="E646" s="569"/>
    </row>
    <row r="647">
      <c r="D647" s="610"/>
      <c r="E647" s="569"/>
    </row>
    <row r="648">
      <c r="D648" s="610"/>
      <c r="E648" s="569"/>
    </row>
    <row r="649">
      <c r="D649" s="610"/>
      <c r="E649" s="569"/>
    </row>
    <row r="650">
      <c r="D650" s="610"/>
      <c r="E650" s="569"/>
    </row>
    <row r="651">
      <c r="D651" s="610"/>
      <c r="E651" s="569"/>
    </row>
    <row r="652">
      <c r="D652" s="610"/>
      <c r="E652" s="569"/>
    </row>
    <row r="653">
      <c r="D653" s="610"/>
      <c r="E653" s="569"/>
    </row>
    <row r="654">
      <c r="D654" s="610"/>
      <c r="E654" s="569"/>
    </row>
    <row r="655">
      <c r="D655" s="610"/>
      <c r="E655" s="569"/>
    </row>
    <row r="656">
      <c r="D656" s="610"/>
      <c r="E656" s="569"/>
    </row>
    <row r="657">
      <c r="D657" s="610"/>
      <c r="E657" s="569"/>
    </row>
    <row r="658">
      <c r="D658" s="610"/>
      <c r="E658" s="569"/>
    </row>
    <row r="659">
      <c r="D659" s="610"/>
      <c r="E659" s="569"/>
    </row>
    <row r="660">
      <c r="D660" s="610"/>
      <c r="E660" s="569"/>
    </row>
    <row r="661">
      <c r="D661" s="610"/>
      <c r="E661" s="569"/>
    </row>
    <row r="662">
      <c r="D662" s="610"/>
      <c r="E662" s="569"/>
    </row>
    <row r="663">
      <c r="D663" s="610"/>
      <c r="E663" s="569"/>
    </row>
    <row r="664">
      <c r="D664" s="610"/>
      <c r="E664" s="569"/>
    </row>
    <row r="665">
      <c r="D665" s="610"/>
      <c r="E665" s="569"/>
    </row>
    <row r="666">
      <c r="D666" s="610"/>
      <c r="E666" s="569"/>
    </row>
    <row r="667">
      <c r="D667" s="610"/>
      <c r="E667" s="569"/>
    </row>
    <row r="668">
      <c r="D668" s="610"/>
      <c r="E668" s="569"/>
    </row>
    <row r="669">
      <c r="D669" s="610"/>
      <c r="E669" s="569"/>
    </row>
    <row r="670">
      <c r="D670" s="610"/>
      <c r="E670" s="569"/>
    </row>
    <row r="671">
      <c r="D671" s="610"/>
      <c r="E671" s="569"/>
    </row>
    <row r="672">
      <c r="D672" s="610"/>
      <c r="E672" s="569"/>
    </row>
    <row r="673">
      <c r="D673" s="610"/>
      <c r="E673" s="569"/>
    </row>
    <row r="674">
      <c r="D674" s="610"/>
      <c r="E674" s="569"/>
    </row>
    <row r="675">
      <c r="D675" s="610"/>
      <c r="E675" s="569"/>
    </row>
    <row r="676">
      <c r="D676" s="610"/>
      <c r="E676" s="569"/>
    </row>
    <row r="677">
      <c r="D677" s="610"/>
      <c r="E677" s="569"/>
    </row>
    <row r="678">
      <c r="D678" s="610"/>
      <c r="E678" s="569"/>
    </row>
    <row r="679">
      <c r="D679" s="610"/>
      <c r="E679" s="569"/>
    </row>
    <row r="680">
      <c r="D680" s="610"/>
      <c r="E680" s="569"/>
    </row>
    <row r="681">
      <c r="D681" s="610"/>
      <c r="E681" s="569"/>
    </row>
    <row r="682">
      <c r="D682" s="610"/>
      <c r="E682" s="569"/>
    </row>
    <row r="683">
      <c r="D683" s="610"/>
      <c r="E683" s="569"/>
    </row>
    <row r="684">
      <c r="D684" s="610"/>
      <c r="E684" s="569"/>
    </row>
    <row r="685">
      <c r="D685" s="610"/>
      <c r="E685" s="569"/>
    </row>
    <row r="686">
      <c r="D686" s="610"/>
      <c r="E686" s="569"/>
    </row>
    <row r="687">
      <c r="D687" s="610"/>
      <c r="E687" s="569"/>
    </row>
    <row r="688">
      <c r="D688" s="610"/>
      <c r="E688" s="569"/>
    </row>
    <row r="689">
      <c r="D689" s="610"/>
      <c r="E689" s="569"/>
    </row>
    <row r="690">
      <c r="D690" s="610"/>
      <c r="E690" s="569"/>
    </row>
    <row r="691">
      <c r="D691" s="610"/>
      <c r="E691" s="569"/>
    </row>
    <row r="692">
      <c r="D692" s="610"/>
      <c r="E692" s="569"/>
    </row>
    <row r="693">
      <c r="D693" s="610"/>
      <c r="E693" s="569"/>
    </row>
    <row r="694">
      <c r="D694" s="610"/>
      <c r="E694" s="569"/>
    </row>
    <row r="695">
      <c r="D695" s="610"/>
      <c r="E695" s="569"/>
    </row>
    <row r="696">
      <c r="D696" s="610"/>
      <c r="E696" s="569"/>
    </row>
    <row r="697">
      <c r="D697" s="610"/>
      <c r="E697" s="569"/>
    </row>
    <row r="698">
      <c r="D698" s="610"/>
      <c r="E698" s="569"/>
    </row>
    <row r="699">
      <c r="D699" s="610"/>
      <c r="E699" s="569"/>
    </row>
    <row r="700">
      <c r="D700" s="610"/>
      <c r="E700" s="569"/>
    </row>
    <row r="701">
      <c r="D701" s="610"/>
      <c r="E701" s="569"/>
    </row>
    <row r="702">
      <c r="D702" s="610"/>
      <c r="E702" s="569"/>
    </row>
    <row r="703">
      <c r="D703" s="610"/>
      <c r="E703" s="569"/>
    </row>
    <row r="704">
      <c r="D704" s="610"/>
      <c r="E704" s="569"/>
    </row>
    <row r="705">
      <c r="D705" s="610"/>
      <c r="E705" s="569"/>
    </row>
    <row r="706">
      <c r="D706" s="610"/>
      <c r="E706" s="569"/>
    </row>
    <row r="707">
      <c r="D707" s="610"/>
      <c r="E707" s="569"/>
    </row>
    <row r="708">
      <c r="D708" s="610"/>
      <c r="E708" s="569"/>
    </row>
    <row r="709">
      <c r="D709" s="610"/>
      <c r="E709" s="569"/>
    </row>
    <row r="710">
      <c r="D710" s="610"/>
      <c r="E710" s="569"/>
    </row>
    <row r="711">
      <c r="D711" s="610"/>
      <c r="E711" s="569"/>
    </row>
    <row r="712">
      <c r="D712" s="610"/>
      <c r="E712" s="569"/>
    </row>
    <row r="713">
      <c r="D713" s="610"/>
      <c r="E713" s="569"/>
    </row>
    <row r="714">
      <c r="D714" s="610"/>
      <c r="E714" s="569"/>
    </row>
    <row r="715">
      <c r="D715" s="610"/>
      <c r="E715" s="569"/>
    </row>
    <row r="716">
      <c r="D716" s="610"/>
      <c r="E716" s="569"/>
    </row>
    <row r="717">
      <c r="D717" s="610"/>
      <c r="E717" s="569"/>
    </row>
    <row r="718">
      <c r="D718" s="610"/>
      <c r="E718" s="569"/>
    </row>
    <row r="719">
      <c r="D719" s="610"/>
      <c r="E719" s="569"/>
    </row>
    <row r="720">
      <c r="D720" s="610"/>
      <c r="E720" s="569"/>
    </row>
    <row r="721">
      <c r="D721" s="610"/>
      <c r="E721" s="569"/>
    </row>
    <row r="722">
      <c r="D722" s="610"/>
      <c r="E722" s="569"/>
    </row>
    <row r="723">
      <c r="D723" s="610"/>
      <c r="E723" s="569"/>
    </row>
    <row r="724">
      <c r="D724" s="610"/>
      <c r="E724" s="569"/>
    </row>
    <row r="725">
      <c r="D725" s="610"/>
      <c r="E725" s="569"/>
    </row>
    <row r="726">
      <c r="D726" s="610"/>
      <c r="E726" s="569"/>
    </row>
    <row r="727">
      <c r="D727" s="610"/>
      <c r="E727" s="569"/>
    </row>
    <row r="728">
      <c r="D728" s="610"/>
      <c r="E728" s="569"/>
    </row>
    <row r="729">
      <c r="D729" s="610"/>
      <c r="E729" s="569"/>
    </row>
    <row r="730">
      <c r="D730" s="610"/>
      <c r="E730" s="569"/>
    </row>
    <row r="731">
      <c r="D731" s="610"/>
      <c r="E731" s="569"/>
    </row>
    <row r="732">
      <c r="D732" s="610"/>
      <c r="E732" s="569"/>
    </row>
    <row r="733">
      <c r="D733" s="610"/>
      <c r="E733" s="569"/>
    </row>
    <row r="734">
      <c r="D734" s="610"/>
      <c r="E734" s="569"/>
    </row>
    <row r="735">
      <c r="D735" s="610"/>
      <c r="E735" s="569"/>
    </row>
    <row r="736">
      <c r="D736" s="610"/>
      <c r="E736" s="569"/>
    </row>
    <row r="737">
      <c r="D737" s="610"/>
      <c r="E737" s="569"/>
    </row>
    <row r="738">
      <c r="D738" s="610"/>
      <c r="E738" s="569"/>
    </row>
    <row r="739">
      <c r="D739" s="610"/>
      <c r="E739" s="569"/>
    </row>
    <row r="740">
      <c r="D740" s="610"/>
      <c r="E740" s="569"/>
    </row>
    <row r="741">
      <c r="D741" s="610"/>
      <c r="E741" s="569"/>
    </row>
    <row r="742">
      <c r="D742" s="610"/>
      <c r="E742" s="569"/>
    </row>
    <row r="743">
      <c r="D743" s="610"/>
      <c r="E743" s="569"/>
    </row>
    <row r="744">
      <c r="D744" s="610"/>
      <c r="E744" s="569"/>
    </row>
    <row r="745">
      <c r="D745" s="610"/>
      <c r="E745" s="569"/>
    </row>
    <row r="746">
      <c r="D746" s="610"/>
      <c r="E746" s="569"/>
    </row>
    <row r="747">
      <c r="D747" s="610"/>
      <c r="E747" s="569"/>
    </row>
    <row r="748">
      <c r="D748" s="610"/>
      <c r="E748" s="569"/>
    </row>
    <row r="749">
      <c r="D749" s="610"/>
      <c r="E749" s="569"/>
    </row>
    <row r="750">
      <c r="D750" s="610"/>
      <c r="E750" s="569"/>
    </row>
    <row r="751">
      <c r="D751" s="610"/>
      <c r="E751" s="569"/>
    </row>
    <row r="752">
      <c r="D752" s="610"/>
      <c r="E752" s="569"/>
    </row>
    <row r="753">
      <c r="D753" s="610"/>
      <c r="E753" s="569"/>
    </row>
    <row r="754">
      <c r="D754" s="610"/>
      <c r="E754" s="569"/>
    </row>
    <row r="755">
      <c r="D755" s="610"/>
      <c r="E755" s="569"/>
    </row>
    <row r="756">
      <c r="D756" s="610"/>
      <c r="E756" s="569"/>
    </row>
    <row r="757">
      <c r="D757" s="610"/>
      <c r="E757" s="569"/>
    </row>
    <row r="758">
      <c r="D758" s="610"/>
      <c r="E758" s="569"/>
    </row>
    <row r="759">
      <c r="D759" s="610"/>
      <c r="E759" s="569"/>
    </row>
    <row r="760">
      <c r="D760" s="610"/>
      <c r="E760" s="569"/>
    </row>
    <row r="761">
      <c r="D761" s="610"/>
      <c r="E761" s="569"/>
    </row>
    <row r="762">
      <c r="D762" s="610"/>
      <c r="E762" s="569"/>
    </row>
    <row r="763">
      <c r="D763" s="610"/>
      <c r="E763" s="569"/>
    </row>
    <row r="764">
      <c r="D764" s="610"/>
      <c r="E764" s="569"/>
    </row>
    <row r="765">
      <c r="D765" s="610"/>
      <c r="E765" s="569"/>
    </row>
    <row r="766">
      <c r="D766" s="610"/>
      <c r="E766" s="569"/>
    </row>
    <row r="767">
      <c r="D767" s="610"/>
      <c r="E767" s="569"/>
    </row>
    <row r="768">
      <c r="D768" s="610"/>
      <c r="E768" s="569"/>
    </row>
    <row r="769">
      <c r="D769" s="610"/>
      <c r="E769" s="569"/>
    </row>
    <row r="770">
      <c r="D770" s="610"/>
      <c r="E770" s="569"/>
    </row>
    <row r="771">
      <c r="D771" s="610"/>
      <c r="E771" s="569"/>
    </row>
    <row r="772">
      <c r="D772" s="610"/>
      <c r="E772" s="569"/>
    </row>
    <row r="773">
      <c r="D773" s="610"/>
      <c r="E773" s="569"/>
    </row>
    <row r="774">
      <c r="D774" s="610"/>
      <c r="E774" s="569"/>
    </row>
    <row r="775">
      <c r="D775" s="610"/>
      <c r="E775" s="569"/>
    </row>
    <row r="776">
      <c r="D776" s="610"/>
      <c r="E776" s="569"/>
    </row>
    <row r="777">
      <c r="D777" s="610"/>
      <c r="E777" s="569"/>
    </row>
    <row r="778">
      <c r="D778" s="610"/>
      <c r="E778" s="569"/>
    </row>
    <row r="779">
      <c r="D779" s="610"/>
      <c r="E779" s="569"/>
    </row>
    <row r="780">
      <c r="D780" s="610"/>
      <c r="E780" s="569"/>
    </row>
    <row r="781">
      <c r="D781" s="610"/>
      <c r="E781" s="569"/>
    </row>
    <row r="782">
      <c r="D782" s="610"/>
      <c r="E782" s="569"/>
    </row>
    <row r="783">
      <c r="D783" s="610"/>
      <c r="E783" s="569"/>
    </row>
    <row r="784">
      <c r="D784" s="610"/>
      <c r="E784" s="569"/>
    </row>
    <row r="785">
      <c r="D785" s="610"/>
      <c r="E785" s="569"/>
    </row>
    <row r="786">
      <c r="D786" s="610"/>
      <c r="E786" s="569"/>
    </row>
    <row r="787">
      <c r="D787" s="610"/>
      <c r="E787" s="569"/>
    </row>
    <row r="788">
      <c r="D788" s="610"/>
      <c r="E788" s="569"/>
    </row>
    <row r="789">
      <c r="D789" s="610"/>
      <c r="E789" s="569"/>
    </row>
    <row r="790">
      <c r="D790" s="610"/>
      <c r="E790" s="569"/>
    </row>
    <row r="791">
      <c r="D791" s="610"/>
      <c r="E791" s="569"/>
    </row>
    <row r="792">
      <c r="D792" s="610"/>
      <c r="E792" s="569"/>
    </row>
    <row r="793">
      <c r="D793" s="610"/>
      <c r="E793" s="569"/>
    </row>
    <row r="794">
      <c r="D794" s="610"/>
      <c r="E794" s="569"/>
    </row>
    <row r="795">
      <c r="D795" s="610"/>
      <c r="E795" s="569"/>
    </row>
    <row r="796">
      <c r="D796" s="610"/>
      <c r="E796" s="569"/>
    </row>
    <row r="797">
      <c r="D797" s="610"/>
      <c r="E797" s="569"/>
    </row>
    <row r="798">
      <c r="D798" s="610"/>
      <c r="E798" s="569"/>
    </row>
    <row r="799">
      <c r="D799" s="610"/>
      <c r="E799" s="569"/>
    </row>
    <row r="800">
      <c r="D800" s="610"/>
      <c r="E800" s="569"/>
    </row>
    <row r="801">
      <c r="D801" s="610"/>
      <c r="E801" s="569"/>
    </row>
    <row r="802">
      <c r="D802" s="610"/>
      <c r="E802" s="569"/>
    </row>
    <row r="803">
      <c r="D803" s="610"/>
      <c r="E803" s="569"/>
    </row>
    <row r="804">
      <c r="D804" s="610"/>
      <c r="E804" s="569"/>
    </row>
    <row r="805">
      <c r="D805" s="610"/>
      <c r="E805" s="569"/>
    </row>
    <row r="806">
      <c r="D806" s="610"/>
      <c r="E806" s="569"/>
    </row>
    <row r="807">
      <c r="D807" s="610"/>
      <c r="E807" s="569"/>
    </row>
    <row r="808">
      <c r="D808" s="610"/>
      <c r="E808" s="569"/>
    </row>
    <row r="809">
      <c r="D809" s="610"/>
      <c r="E809" s="569"/>
    </row>
    <row r="810">
      <c r="D810" s="610"/>
      <c r="E810" s="569"/>
    </row>
    <row r="811">
      <c r="D811" s="610"/>
      <c r="E811" s="569"/>
    </row>
    <row r="812">
      <c r="D812" s="610"/>
      <c r="E812" s="569"/>
    </row>
    <row r="813">
      <c r="D813" s="610"/>
      <c r="E813" s="569"/>
    </row>
    <row r="814">
      <c r="D814" s="610"/>
      <c r="E814" s="569"/>
    </row>
    <row r="815">
      <c r="D815" s="610"/>
      <c r="E815" s="569"/>
    </row>
    <row r="816">
      <c r="D816" s="610"/>
      <c r="E816" s="569"/>
    </row>
    <row r="817">
      <c r="D817" s="610"/>
      <c r="E817" s="569"/>
    </row>
    <row r="818">
      <c r="D818" s="610"/>
      <c r="E818" s="569"/>
    </row>
    <row r="819">
      <c r="D819" s="610"/>
      <c r="E819" s="569"/>
    </row>
    <row r="820">
      <c r="D820" s="610"/>
      <c r="E820" s="569"/>
    </row>
    <row r="821">
      <c r="D821" s="610"/>
      <c r="E821" s="569"/>
    </row>
    <row r="822">
      <c r="D822" s="610"/>
      <c r="E822" s="569"/>
    </row>
    <row r="823">
      <c r="D823" s="610"/>
      <c r="E823" s="569"/>
    </row>
    <row r="824">
      <c r="D824" s="610"/>
      <c r="E824" s="569"/>
    </row>
    <row r="825">
      <c r="D825" s="610"/>
      <c r="E825" s="569"/>
    </row>
    <row r="826">
      <c r="D826" s="610"/>
      <c r="E826" s="569"/>
    </row>
    <row r="827">
      <c r="D827" s="610"/>
      <c r="E827" s="569"/>
    </row>
    <row r="828">
      <c r="D828" s="610"/>
      <c r="E828" s="569"/>
    </row>
    <row r="829">
      <c r="D829" s="610"/>
      <c r="E829" s="569"/>
    </row>
    <row r="830">
      <c r="D830" s="610"/>
      <c r="E830" s="569"/>
    </row>
    <row r="831">
      <c r="D831" s="610"/>
      <c r="E831" s="569"/>
    </row>
    <row r="832">
      <c r="D832" s="610"/>
      <c r="E832" s="569"/>
    </row>
    <row r="833">
      <c r="D833" s="610"/>
      <c r="E833" s="569"/>
    </row>
    <row r="834">
      <c r="D834" s="610"/>
      <c r="E834" s="569"/>
    </row>
    <row r="835">
      <c r="D835" s="610"/>
      <c r="E835" s="569"/>
    </row>
    <row r="836">
      <c r="D836" s="610"/>
      <c r="E836" s="569"/>
    </row>
    <row r="837">
      <c r="D837" s="610"/>
      <c r="E837" s="569"/>
    </row>
    <row r="838">
      <c r="D838" s="610"/>
      <c r="E838" s="569"/>
    </row>
    <row r="839">
      <c r="D839" s="610"/>
      <c r="E839" s="569"/>
    </row>
    <row r="840">
      <c r="D840" s="610"/>
      <c r="E840" s="569"/>
    </row>
    <row r="841">
      <c r="D841" s="610"/>
      <c r="E841" s="569"/>
    </row>
    <row r="842">
      <c r="D842" s="610"/>
      <c r="E842" s="569"/>
    </row>
    <row r="843">
      <c r="D843" s="610"/>
      <c r="E843" s="569"/>
    </row>
    <row r="844">
      <c r="D844" s="610"/>
      <c r="E844" s="569"/>
    </row>
    <row r="845">
      <c r="D845" s="610"/>
      <c r="E845" s="569"/>
    </row>
    <row r="846">
      <c r="D846" s="610"/>
      <c r="E846" s="569"/>
    </row>
    <row r="847">
      <c r="D847" s="610"/>
      <c r="E847" s="569"/>
    </row>
    <row r="848">
      <c r="D848" s="610"/>
      <c r="E848" s="569"/>
    </row>
    <row r="849">
      <c r="D849" s="610"/>
      <c r="E849" s="569"/>
    </row>
    <row r="850">
      <c r="D850" s="610"/>
      <c r="E850" s="569"/>
    </row>
    <row r="851">
      <c r="D851" s="610"/>
      <c r="E851" s="569"/>
    </row>
    <row r="852">
      <c r="D852" s="610"/>
      <c r="E852" s="569"/>
    </row>
    <row r="853">
      <c r="D853" s="610"/>
      <c r="E853" s="569"/>
    </row>
    <row r="854">
      <c r="D854" s="610"/>
      <c r="E854" s="569"/>
    </row>
    <row r="855">
      <c r="D855" s="610"/>
      <c r="E855" s="569"/>
    </row>
    <row r="856">
      <c r="D856" s="610"/>
      <c r="E856" s="569"/>
    </row>
    <row r="857">
      <c r="D857" s="610"/>
      <c r="E857" s="569"/>
    </row>
    <row r="858">
      <c r="D858" s="610"/>
      <c r="E858" s="569"/>
    </row>
    <row r="859">
      <c r="D859" s="610"/>
      <c r="E859" s="569"/>
    </row>
    <row r="860">
      <c r="D860" s="610"/>
      <c r="E860" s="569"/>
    </row>
    <row r="861">
      <c r="D861" s="610"/>
      <c r="E861" s="569"/>
    </row>
    <row r="862">
      <c r="D862" s="610"/>
      <c r="E862" s="569"/>
    </row>
    <row r="863">
      <c r="D863" s="610"/>
      <c r="E863" s="569"/>
    </row>
    <row r="864">
      <c r="D864" s="610"/>
      <c r="E864" s="569"/>
    </row>
    <row r="865">
      <c r="D865" s="610"/>
      <c r="E865" s="569"/>
    </row>
    <row r="866">
      <c r="D866" s="610"/>
      <c r="E866" s="569"/>
    </row>
    <row r="867">
      <c r="D867" s="610"/>
      <c r="E867" s="569"/>
    </row>
    <row r="868">
      <c r="D868" s="610"/>
      <c r="E868" s="569"/>
    </row>
    <row r="869">
      <c r="D869" s="610"/>
      <c r="E869" s="569"/>
    </row>
    <row r="870">
      <c r="D870" s="610"/>
      <c r="E870" s="569"/>
    </row>
    <row r="871">
      <c r="D871" s="610"/>
      <c r="E871" s="569"/>
    </row>
    <row r="872">
      <c r="D872" s="610"/>
      <c r="E872" s="569"/>
    </row>
    <row r="873">
      <c r="D873" s="610"/>
      <c r="E873" s="569"/>
    </row>
    <row r="874">
      <c r="D874" s="610"/>
      <c r="E874" s="569"/>
    </row>
    <row r="875">
      <c r="D875" s="610"/>
      <c r="E875" s="569"/>
    </row>
    <row r="876">
      <c r="D876" s="610"/>
      <c r="E876" s="569"/>
    </row>
    <row r="877">
      <c r="D877" s="610"/>
      <c r="E877" s="569"/>
    </row>
    <row r="878">
      <c r="D878" s="610"/>
      <c r="E878" s="569"/>
    </row>
    <row r="879">
      <c r="D879" s="610"/>
      <c r="E879" s="569"/>
    </row>
    <row r="880">
      <c r="D880" s="610"/>
      <c r="E880" s="569"/>
    </row>
    <row r="881">
      <c r="D881" s="610"/>
      <c r="E881" s="569"/>
    </row>
    <row r="882">
      <c r="D882" s="610"/>
      <c r="E882" s="569"/>
    </row>
    <row r="883">
      <c r="D883" s="610"/>
      <c r="E883" s="569"/>
    </row>
    <row r="884">
      <c r="D884" s="610"/>
      <c r="E884" s="569"/>
    </row>
    <row r="885">
      <c r="D885" s="610"/>
      <c r="E885" s="569"/>
    </row>
    <row r="886">
      <c r="D886" s="610"/>
      <c r="E886" s="569"/>
    </row>
    <row r="887">
      <c r="D887" s="610"/>
      <c r="E887" s="569"/>
    </row>
    <row r="888">
      <c r="D888" s="610"/>
      <c r="E888" s="569"/>
    </row>
    <row r="889">
      <c r="D889" s="610"/>
      <c r="E889" s="569"/>
    </row>
    <row r="890">
      <c r="D890" s="610"/>
      <c r="E890" s="569"/>
    </row>
    <row r="891">
      <c r="D891" s="610"/>
      <c r="E891" s="569"/>
    </row>
    <row r="892">
      <c r="D892" s="610"/>
      <c r="E892" s="569"/>
    </row>
    <row r="893">
      <c r="D893" s="610"/>
      <c r="E893" s="569"/>
    </row>
    <row r="894">
      <c r="D894" s="610"/>
      <c r="E894" s="569"/>
    </row>
    <row r="895">
      <c r="D895" s="610"/>
      <c r="E895" s="569"/>
    </row>
    <row r="896">
      <c r="D896" s="610"/>
      <c r="E896" s="569"/>
    </row>
    <row r="897">
      <c r="D897" s="610"/>
      <c r="E897" s="569"/>
    </row>
    <row r="898">
      <c r="D898" s="610"/>
      <c r="E898" s="569"/>
    </row>
    <row r="899">
      <c r="D899" s="610"/>
      <c r="E899" s="569"/>
    </row>
    <row r="900">
      <c r="D900" s="610"/>
      <c r="E900" s="569"/>
    </row>
    <row r="901">
      <c r="D901" s="610"/>
      <c r="E901" s="569"/>
    </row>
    <row r="902">
      <c r="D902" s="610"/>
      <c r="E902" s="569"/>
    </row>
    <row r="903">
      <c r="D903" s="610"/>
      <c r="E903" s="569"/>
    </row>
    <row r="904">
      <c r="D904" s="610"/>
      <c r="E904" s="569"/>
    </row>
    <row r="905">
      <c r="D905" s="610"/>
      <c r="E905" s="569"/>
    </row>
    <row r="906">
      <c r="D906" s="610"/>
      <c r="E906" s="569"/>
    </row>
    <row r="907">
      <c r="D907" s="610"/>
      <c r="E907" s="569"/>
    </row>
    <row r="908">
      <c r="D908" s="610"/>
      <c r="E908" s="569"/>
    </row>
    <row r="909">
      <c r="D909" s="610"/>
      <c r="E909" s="569"/>
    </row>
    <row r="910">
      <c r="D910" s="610"/>
      <c r="E910" s="569"/>
    </row>
    <row r="911">
      <c r="D911" s="610"/>
      <c r="E911" s="569"/>
    </row>
    <row r="912">
      <c r="D912" s="610"/>
      <c r="E912" s="569"/>
    </row>
    <row r="913">
      <c r="D913" s="610"/>
      <c r="E913" s="569"/>
    </row>
    <row r="914">
      <c r="D914" s="610"/>
      <c r="E914" s="569"/>
    </row>
    <row r="915">
      <c r="D915" s="610"/>
      <c r="E915" s="569"/>
    </row>
    <row r="916">
      <c r="D916" s="610"/>
      <c r="E916" s="569"/>
    </row>
    <row r="917">
      <c r="D917" s="610"/>
      <c r="E917" s="569"/>
    </row>
    <row r="918">
      <c r="D918" s="610"/>
      <c r="E918" s="569"/>
    </row>
    <row r="919">
      <c r="D919" s="610"/>
      <c r="E919" s="569"/>
    </row>
    <row r="920">
      <c r="D920" s="610"/>
      <c r="E920" s="569"/>
    </row>
    <row r="921">
      <c r="D921" s="610"/>
      <c r="E921" s="569"/>
    </row>
    <row r="922">
      <c r="D922" s="610"/>
      <c r="E922" s="569"/>
    </row>
    <row r="923">
      <c r="D923" s="610"/>
      <c r="E923" s="569"/>
    </row>
    <row r="924">
      <c r="D924" s="610"/>
      <c r="E924" s="569"/>
    </row>
    <row r="925">
      <c r="D925" s="610"/>
      <c r="E925" s="569"/>
    </row>
    <row r="926">
      <c r="D926" s="610"/>
      <c r="E926" s="569"/>
    </row>
    <row r="927">
      <c r="D927" s="610"/>
      <c r="E927" s="569"/>
    </row>
    <row r="928">
      <c r="D928" s="610"/>
      <c r="E928" s="569"/>
    </row>
    <row r="929">
      <c r="D929" s="610"/>
      <c r="E929" s="569"/>
    </row>
    <row r="930">
      <c r="D930" s="610"/>
      <c r="E930" s="569"/>
    </row>
    <row r="931">
      <c r="D931" s="610"/>
      <c r="E931" s="569"/>
    </row>
    <row r="932">
      <c r="D932" s="610"/>
      <c r="E932" s="569"/>
    </row>
    <row r="933">
      <c r="D933" s="610"/>
      <c r="E933" s="569"/>
    </row>
    <row r="934">
      <c r="D934" s="610"/>
      <c r="E934" s="569"/>
    </row>
    <row r="935">
      <c r="D935" s="610"/>
      <c r="E935" s="569"/>
    </row>
    <row r="936">
      <c r="D936" s="610"/>
      <c r="E936" s="569"/>
    </row>
    <row r="937">
      <c r="D937" s="610"/>
      <c r="E937" s="569"/>
    </row>
    <row r="938">
      <c r="D938" s="610"/>
      <c r="E938" s="569"/>
    </row>
    <row r="939">
      <c r="D939" s="610"/>
      <c r="E939" s="569"/>
    </row>
    <row r="940">
      <c r="D940" s="610"/>
      <c r="E940" s="569"/>
    </row>
    <row r="941">
      <c r="D941" s="610"/>
      <c r="E941" s="569"/>
    </row>
    <row r="942">
      <c r="D942" s="610"/>
      <c r="E942" s="569"/>
    </row>
    <row r="943">
      <c r="D943" s="610"/>
      <c r="E943" s="569"/>
    </row>
    <row r="944">
      <c r="D944" s="610"/>
      <c r="E944" s="569"/>
    </row>
    <row r="945">
      <c r="D945" s="610"/>
      <c r="E945" s="569"/>
    </row>
    <row r="946">
      <c r="D946" s="610"/>
      <c r="E946" s="569"/>
    </row>
    <row r="947">
      <c r="D947" s="610"/>
      <c r="E947" s="569"/>
    </row>
    <row r="948">
      <c r="D948" s="610"/>
      <c r="E948" s="569"/>
    </row>
    <row r="949">
      <c r="D949" s="610"/>
      <c r="E949" s="569"/>
    </row>
    <row r="950">
      <c r="D950" s="610"/>
      <c r="E950" s="569"/>
    </row>
    <row r="951">
      <c r="D951" s="610"/>
      <c r="E951" s="569"/>
    </row>
    <row r="952">
      <c r="D952" s="610"/>
      <c r="E952" s="569"/>
    </row>
    <row r="953">
      <c r="D953" s="610"/>
      <c r="E953" s="569"/>
    </row>
    <row r="954">
      <c r="D954" s="610"/>
      <c r="E954" s="569"/>
    </row>
    <row r="955">
      <c r="D955" s="610"/>
      <c r="E955" s="569"/>
    </row>
    <row r="956">
      <c r="D956" s="610"/>
      <c r="E956" s="569"/>
    </row>
    <row r="957">
      <c r="D957" s="610"/>
      <c r="E957" s="569"/>
    </row>
    <row r="958">
      <c r="D958" s="610"/>
      <c r="E958" s="569"/>
    </row>
    <row r="959">
      <c r="D959" s="610"/>
      <c r="E959" s="569"/>
    </row>
    <row r="960">
      <c r="D960" s="610"/>
      <c r="E960" s="569"/>
    </row>
    <row r="961">
      <c r="D961" s="610"/>
      <c r="E961" s="569"/>
    </row>
    <row r="962">
      <c r="D962" s="610"/>
      <c r="E962" s="569"/>
    </row>
    <row r="963">
      <c r="D963" s="610"/>
      <c r="E963" s="569"/>
    </row>
    <row r="964">
      <c r="D964" s="610"/>
      <c r="E964" s="569"/>
    </row>
    <row r="965">
      <c r="D965" s="610"/>
      <c r="E965" s="569"/>
    </row>
    <row r="966">
      <c r="D966" s="610"/>
      <c r="E966" s="569"/>
    </row>
    <row r="967">
      <c r="D967" s="610"/>
      <c r="E967" s="569"/>
    </row>
    <row r="968">
      <c r="D968" s="610"/>
      <c r="E968" s="569"/>
    </row>
    <row r="969">
      <c r="D969" s="610"/>
      <c r="E969" s="569"/>
    </row>
    <row r="970">
      <c r="D970" s="610"/>
      <c r="E970" s="569"/>
    </row>
    <row r="971">
      <c r="D971" s="610"/>
      <c r="E971" s="569"/>
    </row>
    <row r="972">
      <c r="D972" s="610"/>
      <c r="E972" s="569"/>
    </row>
    <row r="973">
      <c r="D973" s="610"/>
      <c r="E973" s="569"/>
    </row>
    <row r="974">
      <c r="D974" s="610"/>
      <c r="E974" s="569"/>
    </row>
    <row r="975">
      <c r="D975" s="610"/>
      <c r="E975" s="569"/>
    </row>
    <row r="976">
      <c r="D976" s="610"/>
      <c r="E976" s="569"/>
    </row>
    <row r="977">
      <c r="D977" s="610"/>
      <c r="E977" s="569"/>
    </row>
    <row r="978">
      <c r="D978" s="610"/>
      <c r="E978" s="569"/>
    </row>
    <row r="979">
      <c r="D979" s="610"/>
      <c r="E979" s="569"/>
    </row>
    <row r="980">
      <c r="D980" s="610"/>
      <c r="E980" s="569"/>
    </row>
    <row r="981">
      <c r="D981" s="610"/>
      <c r="E981" s="569"/>
    </row>
    <row r="982">
      <c r="D982" s="610"/>
      <c r="E982" s="569"/>
    </row>
    <row r="983">
      <c r="D983" s="610"/>
      <c r="E983" s="569"/>
    </row>
    <row r="984">
      <c r="D984" s="610"/>
      <c r="E984" s="569"/>
    </row>
    <row r="985">
      <c r="D985" s="610"/>
      <c r="E985" s="569"/>
    </row>
    <row r="986">
      <c r="D986" s="610"/>
      <c r="E986" s="569"/>
    </row>
    <row r="987">
      <c r="D987" s="610"/>
      <c r="E987" s="569"/>
    </row>
    <row r="988">
      <c r="D988" s="610"/>
      <c r="E988" s="569"/>
    </row>
    <row r="989">
      <c r="D989" s="610"/>
      <c r="E989" s="569"/>
    </row>
    <row r="990">
      <c r="D990" s="610"/>
      <c r="E990" s="569"/>
    </row>
    <row r="991">
      <c r="D991" s="610"/>
      <c r="E991" s="569"/>
    </row>
    <row r="992">
      <c r="D992" s="610"/>
      <c r="E992" s="569"/>
    </row>
    <row r="993">
      <c r="D993" s="610"/>
      <c r="E993" s="569"/>
    </row>
    <row r="994">
      <c r="D994" s="610"/>
      <c r="E994" s="569"/>
    </row>
    <row r="995">
      <c r="D995" s="610"/>
      <c r="E995" s="569"/>
    </row>
    <row r="996">
      <c r="D996" s="610"/>
      <c r="E996" s="569"/>
    </row>
    <row r="997">
      <c r="D997" s="610"/>
      <c r="E997" s="569"/>
    </row>
    <row r="998">
      <c r="D998" s="610"/>
      <c r="E998" s="569"/>
    </row>
    <row r="999">
      <c r="D999" s="610"/>
      <c r="E999" s="569"/>
    </row>
    <row r="1000">
      <c r="D1000" s="610"/>
      <c r="E1000" s="569"/>
    </row>
    <row r="1001">
      <c r="D1001" s="610"/>
      <c r="E1001" s="569"/>
    </row>
    <row r="1002">
      <c r="D1002" s="610"/>
      <c r="E1002" s="569"/>
    </row>
    <row r="1003">
      <c r="D1003" s="610"/>
      <c r="E1003" s="569"/>
    </row>
    <row r="1004">
      <c r="D1004" s="610"/>
      <c r="E1004" s="569"/>
    </row>
    <row r="1005">
      <c r="D1005" s="610"/>
      <c r="E1005" s="569"/>
    </row>
    <row r="1006">
      <c r="D1006" s="610"/>
      <c r="E1006" s="569"/>
    </row>
    <row r="1007">
      <c r="D1007" s="610"/>
      <c r="E1007" s="569"/>
    </row>
    <row r="1008">
      <c r="D1008" s="610"/>
      <c r="E1008" s="569"/>
    </row>
    <row r="1009">
      <c r="D1009" s="610"/>
      <c r="E1009" s="569"/>
    </row>
    <row r="1010">
      <c r="D1010" s="610"/>
      <c r="E1010" s="569"/>
    </row>
    <row r="1011">
      <c r="D1011" s="610"/>
      <c r="E1011" s="569"/>
    </row>
    <row r="1012">
      <c r="D1012" s="610"/>
      <c r="E1012" s="569"/>
    </row>
    <row r="1013">
      <c r="D1013" s="610"/>
      <c r="E1013" s="569"/>
    </row>
    <row r="1014">
      <c r="D1014" s="610"/>
      <c r="E1014" s="569"/>
    </row>
    <row r="1015">
      <c r="D1015" s="610"/>
      <c r="E1015" s="569"/>
    </row>
    <row r="1016">
      <c r="D1016" s="610"/>
      <c r="E1016" s="569"/>
    </row>
    <row r="1017">
      <c r="D1017" s="610"/>
      <c r="E1017" s="569"/>
    </row>
    <row r="1018">
      <c r="D1018" s="610"/>
      <c r="E1018" s="569"/>
    </row>
    <row r="1019">
      <c r="D1019" s="610"/>
      <c r="E1019" s="569"/>
    </row>
    <row r="1020">
      <c r="D1020" s="610"/>
      <c r="E1020" s="569"/>
    </row>
    <row r="1021">
      <c r="D1021" s="610"/>
      <c r="E1021" s="569"/>
    </row>
    <row r="1022">
      <c r="D1022" s="610"/>
      <c r="E1022" s="569"/>
    </row>
    <row r="1023">
      <c r="D1023" s="610"/>
      <c r="E1023" s="569"/>
    </row>
    <row r="1024">
      <c r="D1024" s="610"/>
      <c r="E1024" s="569"/>
    </row>
    <row r="1025">
      <c r="D1025" s="610"/>
      <c r="E1025" s="569"/>
    </row>
    <row r="1026">
      <c r="D1026" s="610"/>
      <c r="E1026" s="569"/>
    </row>
    <row r="1027">
      <c r="D1027" s="610"/>
      <c r="E1027" s="569"/>
    </row>
    <row r="1028">
      <c r="D1028" s="610"/>
      <c r="E1028" s="569"/>
    </row>
    <row r="1029">
      <c r="D1029" s="610"/>
      <c r="E1029" s="569"/>
    </row>
    <row r="1030">
      <c r="D1030" s="610"/>
      <c r="E1030" s="569"/>
    </row>
    <row r="1031">
      <c r="D1031" s="610"/>
      <c r="E1031" s="569"/>
    </row>
    <row r="1032">
      <c r="D1032" s="610"/>
      <c r="E1032" s="569"/>
    </row>
    <row r="1033">
      <c r="D1033" s="610"/>
      <c r="E1033" s="569"/>
    </row>
    <row r="1034">
      <c r="D1034" s="610"/>
      <c r="E1034" s="569"/>
    </row>
    <row r="1035">
      <c r="D1035" s="610"/>
      <c r="E1035" s="569"/>
    </row>
    <row r="1036">
      <c r="D1036" s="610"/>
      <c r="E1036" s="569"/>
    </row>
    <row r="1037">
      <c r="D1037" s="610"/>
      <c r="E1037" s="569"/>
    </row>
    <row r="1038">
      <c r="D1038" s="610"/>
      <c r="E1038" s="569"/>
    </row>
    <row r="1039">
      <c r="D1039" s="610"/>
      <c r="E1039" s="569"/>
    </row>
    <row r="1040">
      <c r="D1040" s="610"/>
      <c r="E1040" s="569"/>
    </row>
    <row r="1041">
      <c r="D1041" s="610"/>
      <c r="E1041" s="569"/>
    </row>
    <row r="1042">
      <c r="D1042" s="610"/>
      <c r="E1042" s="569"/>
    </row>
    <row r="1043">
      <c r="D1043" s="610"/>
      <c r="E1043" s="569"/>
    </row>
    <row r="1044">
      <c r="D1044" s="610"/>
      <c r="E1044" s="569"/>
    </row>
    <row r="1045">
      <c r="D1045" s="610"/>
      <c r="E1045" s="569"/>
    </row>
    <row r="1046">
      <c r="D1046" s="610"/>
      <c r="E1046" s="569"/>
    </row>
    <row r="1047">
      <c r="D1047" s="610"/>
      <c r="E1047" s="569"/>
    </row>
    <row r="1048">
      <c r="D1048" s="610"/>
      <c r="E1048" s="569"/>
    </row>
    <row r="1049">
      <c r="D1049" s="610"/>
      <c r="E1049" s="569"/>
    </row>
    <row r="1050">
      <c r="D1050" s="610"/>
      <c r="E1050" s="569"/>
    </row>
    <row r="1051">
      <c r="D1051" s="610"/>
      <c r="E1051" s="569"/>
    </row>
    <row r="1052">
      <c r="D1052" s="610"/>
      <c r="E1052" s="569"/>
    </row>
    <row r="1053">
      <c r="D1053" s="610"/>
      <c r="E1053" s="569"/>
    </row>
    <row r="1054">
      <c r="D1054" s="610"/>
      <c r="E1054" s="569"/>
    </row>
    <row r="1055">
      <c r="D1055" s="610"/>
      <c r="E1055" s="569"/>
    </row>
    <row r="1056">
      <c r="D1056" s="610"/>
      <c r="E1056" s="569"/>
    </row>
    <row r="1057">
      <c r="D1057" s="610"/>
      <c r="E1057" s="569"/>
    </row>
    <row r="1058">
      <c r="D1058" s="610"/>
      <c r="E1058" s="569"/>
    </row>
    <row r="1059">
      <c r="D1059" s="610"/>
      <c r="E1059" s="569"/>
    </row>
    <row r="1060">
      <c r="D1060" s="610"/>
      <c r="E1060" s="569"/>
    </row>
    <row r="1061">
      <c r="D1061" s="610"/>
      <c r="E1061" s="569"/>
    </row>
    <row r="1062">
      <c r="D1062" s="610"/>
      <c r="E1062" s="569"/>
    </row>
    <row r="1063">
      <c r="D1063" s="610"/>
      <c r="E1063" s="569"/>
    </row>
    <row r="1064">
      <c r="D1064" s="610"/>
      <c r="E1064" s="569"/>
    </row>
    <row r="1065">
      <c r="D1065" s="610"/>
      <c r="E1065" s="569"/>
    </row>
    <row r="1066">
      <c r="D1066" s="610"/>
      <c r="E1066" s="569"/>
    </row>
    <row r="1067">
      <c r="D1067" s="610"/>
      <c r="E1067" s="569"/>
    </row>
    <row r="1068">
      <c r="D1068" s="610"/>
      <c r="E1068" s="569"/>
    </row>
    <row r="1069">
      <c r="D1069" s="610"/>
      <c r="E1069" s="569"/>
    </row>
    <row r="1070">
      <c r="D1070" s="610"/>
      <c r="E1070" s="569"/>
    </row>
    <row r="1071">
      <c r="D1071" s="610"/>
      <c r="E1071" s="569"/>
    </row>
    <row r="1072">
      <c r="D1072" s="610"/>
      <c r="E1072" s="569"/>
    </row>
    <row r="1073">
      <c r="D1073" s="610"/>
      <c r="E1073" s="569"/>
    </row>
    <row r="1074">
      <c r="D1074" s="610"/>
      <c r="E1074" s="569"/>
    </row>
    <row r="1075">
      <c r="D1075" s="610"/>
      <c r="E1075" s="569"/>
    </row>
    <row r="1076">
      <c r="D1076" s="610"/>
      <c r="E1076" s="569"/>
    </row>
    <row r="1077">
      <c r="D1077" s="610"/>
      <c r="E1077" s="569"/>
    </row>
    <row r="1078">
      <c r="D1078" s="610"/>
      <c r="E1078" s="569"/>
    </row>
    <row r="1079">
      <c r="D1079" s="610"/>
      <c r="E1079" s="569"/>
    </row>
    <row r="1080">
      <c r="D1080" s="610"/>
      <c r="E1080" s="569"/>
    </row>
    <row r="1081">
      <c r="D1081" s="610"/>
      <c r="E1081" s="569"/>
    </row>
    <row r="1082">
      <c r="D1082" s="610"/>
      <c r="E1082" s="569"/>
    </row>
    <row r="1083">
      <c r="D1083" s="610"/>
      <c r="E1083" s="569"/>
    </row>
    <row r="1084">
      <c r="D1084" s="610"/>
      <c r="E1084" s="569"/>
    </row>
    <row r="1085">
      <c r="D1085" s="610"/>
      <c r="E1085" s="569"/>
    </row>
    <row r="1086">
      <c r="D1086" s="610"/>
      <c r="E1086" s="569"/>
    </row>
    <row r="1087">
      <c r="D1087" s="610"/>
      <c r="E1087" s="569"/>
    </row>
    <row r="1088">
      <c r="D1088" s="610"/>
      <c r="E1088" s="569"/>
    </row>
    <row r="1089">
      <c r="D1089" s="610"/>
      <c r="E1089" s="569"/>
    </row>
    <row r="1090">
      <c r="D1090" s="610"/>
      <c r="E1090" s="569"/>
    </row>
    <row r="1091">
      <c r="D1091" s="610"/>
      <c r="E1091" s="569"/>
    </row>
    <row r="1092">
      <c r="D1092" s="610"/>
      <c r="E1092" s="569"/>
    </row>
    <row r="1093">
      <c r="D1093" s="610"/>
      <c r="E1093" s="569"/>
    </row>
    <row r="1094">
      <c r="D1094" s="610"/>
      <c r="E1094" s="569"/>
    </row>
    <row r="1095">
      <c r="D1095" s="610"/>
      <c r="E1095" s="569"/>
    </row>
    <row r="1096">
      <c r="D1096" s="610"/>
      <c r="E1096" s="569"/>
    </row>
    <row r="1097">
      <c r="D1097" s="610"/>
      <c r="E1097" s="569"/>
    </row>
    <row r="1098">
      <c r="D1098" s="610"/>
      <c r="E1098" s="569"/>
    </row>
    <row r="1099">
      <c r="D1099" s="610"/>
      <c r="E1099" s="569"/>
    </row>
    <row r="1100">
      <c r="D1100" s="610"/>
      <c r="E1100" s="569"/>
    </row>
    <row r="1101">
      <c r="D1101" s="610"/>
      <c r="E1101" s="569"/>
    </row>
    <row r="1102">
      <c r="D1102" s="610"/>
      <c r="E1102" s="569"/>
    </row>
    <row r="1103">
      <c r="D1103" s="610"/>
      <c r="E1103" s="569"/>
    </row>
    <row r="1104">
      <c r="D1104" s="610"/>
      <c r="E1104" s="569"/>
    </row>
    <row r="1105">
      <c r="D1105" s="610"/>
      <c r="E1105" s="569"/>
    </row>
    <row r="1106">
      <c r="D1106" s="610"/>
      <c r="E1106" s="569"/>
    </row>
    <row r="1107">
      <c r="D1107" s="610"/>
      <c r="E1107" s="569"/>
    </row>
    <row r="1108">
      <c r="D1108" s="610"/>
      <c r="E1108" s="569"/>
    </row>
    <row r="1109">
      <c r="D1109" s="610"/>
      <c r="E1109" s="569"/>
    </row>
    <row r="1110">
      <c r="D1110" s="610"/>
      <c r="E1110" s="569"/>
    </row>
    <row r="1111">
      <c r="D1111" s="610"/>
      <c r="E1111" s="569"/>
    </row>
    <row r="1112">
      <c r="D1112" s="610"/>
      <c r="E1112" s="569"/>
    </row>
    <row r="1113">
      <c r="D1113" s="610"/>
      <c r="E1113" s="569"/>
    </row>
    <row r="1114">
      <c r="D1114" s="610"/>
      <c r="E1114" s="569"/>
    </row>
    <row r="1115">
      <c r="D1115" s="610"/>
      <c r="E1115" s="569"/>
    </row>
    <row r="1116">
      <c r="D1116" s="610"/>
      <c r="E1116" s="569"/>
    </row>
    <row r="1117">
      <c r="D1117" s="610"/>
      <c r="E1117" s="569"/>
    </row>
    <row r="1118">
      <c r="D1118" s="610"/>
      <c r="E1118" s="569"/>
    </row>
    <row r="1119">
      <c r="D1119" s="610"/>
      <c r="E1119" s="569"/>
    </row>
    <row r="1120">
      <c r="D1120" s="610"/>
      <c r="E1120" s="569"/>
    </row>
    <row r="1121">
      <c r="D1121" s="610"/>
      <c r="E1121" s="569"/>
    </row>
    <row r="1122">
      <c r="D1122" s="610"/>
      <c r="E1122" s="569"/>
    </row>
    <row r="1123">
      <c r="D1123" s="610"/>
      <c r="E1123" s="569"/>
    </row>
    <row r="1124">
      <c r="D1124" s="610"/>
      <c r="E1124" s="569"/>
    </row>
    <row r="1125">
      <c r="D1125" s="610"/>
      <c r="E1125" s="569"/>
    </row>
    <row r="1126">
      <c r="D1126" s="610"/>
      <c r="E1126" s="569"/>
    </row>
    <row r="1127">
      <c r="D1127" s="610"/>
      <c r="E1127" s="569"/>
    </row>
    <row r="1128">
      <c r="D1128" s="610"/>
      <c r="E1128" s="569"/>
    </row>
    <row r="1129">
      <c r="D1129" s="610"/>
      <c r="E1129" s="569"/>
    </row>
    <row r="1130">
      <c r="D1130" s="610"/>
      <c r="E1130" s="569"/>
    </row>
    <row r="1131">
      <c r="D1131" s="610"/>
      <c r="E1131" s="569"/>
    </row>
    <row r="1132">
      <c r="D1132" s="610"/>
      <c r="E1132" s="569"/>
    </row>
    <row r="1133">
      <c r="D1133" s="610"/>
      <c r="E1133" s="569"/>
    </row>
    <row r="1134">
      <c r="D1134" s="610"/>
      <c r="E1134" s="569"/>
    </row>
    <row r="1135">
      <c r="D1135" s="610"/>
      <c r="E1135" s="569"/>
    </row>
    <row r="1136">
      <c r="D1136" s="610"/>
      <c r="E1136" s="569"/>
    </row>
    <row r="1137">
      <c r="D1137" s="610"/>
      <c r="E1137" s="569"/>
    </row>
    <row r="1138">
      <c r="D1138" s="610"/>
      <c r="E1138" s="569"/>
    </row>
    <row r="1139">
      <c r="D1139" s="610"/>
      <c r="E1139" s="569"/>
    </row>
    <row r="1140">
      <c r="D1140" s="610"/>
      <c r="E1140" s="569"/>
    </row>
    <row r="1141">
      <c r="D1141" s="610"/>
      <c r="E1141" s="569"/>
    </row>
    <row r="1142">
      <c r="D1142" s="610"/>
      <c r="E1142" s="569"/>
    </row>
    <row r="1143">
      <c r="D1143" s="610"/>
      <c r="E1143" s="569"/>
    </row>
    <row r="1144">
      <c r="D1144" s="610"/>
      <c r="E1144" s="569"/>
    </row>
    <row r="1145">
      <c r="D1145" s="610"/>
      <c r="E1145" s="569"/>
    </row>
    <row r="1146">
      <c r="D1146" s="610"/>
      <c r="E1146" s="569"/>
    </row>
    <row r="1147">
      <c r="D1147" s="610"/>
      <c r="E1147" s="569"/>
    </row>
    <row r="1148">
      <c r="D1148" s="610"/>
      <c r="E1148" s="569"/>
    </row>
    <row r="1149">
      <c r="D1149" s="610"/>
      <c r="E1149" s="569"/>
    </row>
    <row r="1150">
      <c r="D1150" s="610"/>
      <c r="E1150" s="569"/>
    </row>
    <row r="1151">
      <c r="D1151" s="610"/>
      <c r="E1151" s="569"/>
    </row>
    <row r="1152">
      <c r="D1152" s="610"/>
      <c r="E1152" s="569"/>
    </row>
    <row r="1153">
      <c r="D1153" s="610"/>
      <c r="E1153" s="569"/>
    </row>
    <row r="1154">
      <c r="D1154" s="610"/>
      <c r="E1154" s="569"/>
    </row>
    <row r="1155">
      <c r="D1155" s="610"/>
      <c r="E1155" s="569"/>
    </row>
    <row r="1156">
      <c r="D1156" s="610"/>
      <c r="E1156" s="569"/>
    </row>
    <row r="1157">
      <c r="D1157" s="610"/>
      <c r="E1157" s="569"/>
    </row>
    <row r="1158">
      <c r="D1158" s="610"/>
      <c r="E1158" s="569"/>
    </row>
    <row r="1159">
      <c r="D1159" s="610"/>
      <c r="E1159" s="569"/>
    </row>
    <row r="1160">
      <c r="D1160" s="610"/>
      <c r="E1160" s="569"/>
    </row>
    <row r="1161">
      <c r="D1161" s="610"/>
      <c r="E1161" s="569"/>
    </row>
    <row r="1162">
      <c r="D1162" s="610"/>
      <c r="E1162" s="569"/>
    </row>
    <row r="1163">
      <c r="D1163" s="610"/>
      <c r="E1163" s="569"/>
    </row>
    <row r="1164">
      <c r="D1164" s="610"/>
      <c r="E1164" s="569"/>
    </row>
    <row r="1165">
      <c r="D1165" s="610"/>
      <c r="E1165" s="569"/>
    </row>
    <row r="1166">
      <c r="D1166" s="610"/>
      <c r="E1166" s="569"/>
    </row>
    <row r="1167">
      <c r="D1167" s="610"/>
      <c r="E1167" s="569"/>
    </row>
    <row r="1168">
      <c r="D1168" s="610"/>
      <c r="E1168" s="569"/>
    </row>
    <row r="1169">
      <c r="D1169" s="610"/>
      <c r="E1169" s="569"/>
    </row>
    <row r="1170">
      <c r="D1170" s="610"/>
      <c r="E1170" s="569"/>
    </row>
    <row r="1171">
      <c r="D1171" s="610"/>
      <c r="E1171" s="569"/>
    </row>
    <row r="1172">
      <c r="D1172" s="610"/>
      <c r="E1172" s="569"/>
    </row>
    <row r="1173">
      <c r="D1173" s="610"/>
      <c r="E1173" s="569"/>
    </row>
    <row r="1174">
      <c r="D1174" s="610"/>
      <c r="E1174" s="569"/>
    </row>
    <row r="1175">
      <c r="D1175" s="610"/>
      <c r="E1175" s="569"/>
    </row>
    <row r="1176">
      <c r="D1176" s="610"/>
      <c r="E1176" s="569"/>
    </row>
    <row r="1177">
      <c r="D1177" s="610"/>
      <c r="E1177" s="569"/>
    </row>
    <row r="1178">
      <c r="D1178" s="610"/>
      <c r="E1178" s="569"/>
    </row>
    <row r="1179">
      <c r="D1179" s="610"/>
      <c r="E1179" s="569"/>
    </row>
    <row r="1180">
      <c r="D1180" s="610"/>
      <c r="E1180" s="569"/>
    </row>
    <row r="1181">
      <c r="D1181" s="610"/>
      <c r="E1181" s="569"/>
    </row>
    <row r="1182">
      <c r="D1182" s="610"/>
      <c r="E1182" s="569"/>
    </row>
    <row r="1183">
      <c r="D1183" s="610"/>
      <c r="E1183" s="569"/>
    </row>
    <row r="1184">
      <c r="D1184" s="610"/>
      <c r="E1184" s="569"/>
    </row>
    <row r="1185">
      <c r="D1185" s="610"/>
      <c r="E1185" s="569"/>
    </row>
    <row r="1186">
      <c r="D1186" s="610"/>
      <c r="E1186" s="569"/>
    </row>
    <row r="1187">
      <c r="D1187" s="610"/>
      <c r="E1187" s="569"/>
    </row>
    <row r="1188">
      <c r="D1188" s="610"/>
      <c r="E1188" s="569"/>
    </row>
    <row r="1189">
      <c r="D1189" s="610"/>
      <c r="E1189" s="569"/>
    </row>
    <row r="1190">
      <c r="D1190" s="610"/>
      <c r="E1190" s="569"/>
    </row>
    <row r="1191">
      <c r="D1191" s="610"/>
      <c r="E1191" s="569"/>
    </row>
    <row r="1192">
      <c r="D1192" s="610"/>
      <c r="E1192" s="569"/>
    </row>
    <row r="1193">
      <c r="D1193" s="610"/>
      <c r="E1193" s="569"/>
    </row>
    <row r="1194">
      <c r="D1194" s="610"/>
      <c r="E1194" s="569"/>
    </row>
    <row r="1195">
      <c r="D1195" s="610"/>
      <c r="E1195" s="569"/>
    </row>
    <row r="1196">
      <c r="D1196" s="610"/>
      <c r="E1196" s="569"/>
    </row>
    <row r="1197">
      <c r="D1197" s="610"/>
      <c r="E1197" s="569"/>
    </row>
    <row r="1198">
      <c r="D1198" s="610"/>
      <c r="E1198" s="569"/>
    </row>
    <row r="1199">
      <c r="D1199" s="610"/>
      <c r="E1199" s="569"/>
    </row>
    <row r="1200">
      <c r="D1200" s="610"/>
      <c r="E1200" s="569"/>
    </row>
    <row r="1201">
      <c r="D1201" s="610"/>
      <c r="E1201" s="569"/>
    </row>
    <row r="1202">
      <c r="D1202" s="610"/>
      <c r="E1202" s="569"/>
    </row>
    <row r="1203">
      <c r="D1203" s="610"/>
      <c r="E1203" s="569"/>
    </row>
    <row r="1204">
      <c r="D1204" s="610"/>
      <c r="E1204" s="569"/>
    </row>
    <row r="1205">
      <c r="D1205" s="610"/>
      <c r="E1205" s="569"/>
    </row>
    <row r="1206">
      <c r="D1206" s="610"/>
      <c r="E1206" s="569"/>
    </row>
    <row r="1207">
      <c r="D1207" s="610"/>
      <c r="E1207" s="569"/>
    </row>
    <row r="1208">
      <c r="D1208" s="610"/>
      <c r="E1208" s="569"/>
    </row>
    <row r="1209">
      <c r="D1209" s="610"/>
      <c r="E1209" s="569"/>
    </row>
    <row r="1210">
      <c r="D1210" s="610"/>
      <c r="E1210" s="569"/>
    </row>
    <row r="1211">
      <c r="D1211" s="610"/>
      <c r="E1211" s="569"/>
    </row>
    <row r="1212">
      <c r="D1212" s="610"/>
      <c r="E1212" s="569"/>
    </row>
    <row r="1213">
      <c r="D1213" s="610"/>
      <c r="E1213" s="569"/>
    </row>
    <row r="1214">
      <c r="D1214" s="610"/>
      <c r="E1214" s="569"/>
    </row>
    <row r="1215">
      <c r="D1215" s="610"/>
      <c r="E1215" s="569"/>
    </row>
    <row r="1216">
      <c r="D1216" s="610"/>
      <c r="E1216" s="569"/>
    </row>
    <row r="1217">
      <c r="D1217" s="610"/>
      <c r="E1217" s="569"/>
    </row>
    <row r="1218">
      <c r="D1218" s="610"/>
      <c r="E1218" s="569"/>
    </row>
    <row r="1219">
      <c r="D1219" s="610"/>
      <c r="E1219" s="569"/>
    </row>
    <row r="1220">
      <c r="D1220" s="610"/>
      <c r="E1220" s="569"/>
    </row>
    <row r="1221">
      <c r="D1221" s="610"/>
      <c r="E1221" s="569"/>
    </row>
    <row r="1222">
      <c r="D1222" s="610"/>
      <c r="E1222" s="569"/>
    </row>
    <row r="1223">
      <c r="D1223" s="610"/>
      <c r="E1223" s="569"/>
    </row>
    <row r="1224">
      <c r="D1224" s="610"/>
      <c r="E1224" s="569"/>
    </row>
    <row r="1225">
      <c r="D1225" s="610"/>
      <c r="E1225" s="569"/>
    </row>
    <row r="1226">
      <c r="D1226" s="610"/>
      <c r="E1226" s="569"/>
    </row>
    <row r="1227">
      <c r="D1227" s="610"/>
      <c r="E1227" s="569"/>
    </row>
    <row r="1228">
      <c r="D1228" s="610"/>
      <c r="E1228" s="569"/>
    </row>
    <row r="1229">
      <c r="D1229" s="610"/>
      <c r="E1229" s="569"/>
    </row>
    <row r="1230">
      <c r="D1230" s="610"/>
      <c r="E1230" s="569"/>
    </row>
    <row r="1231">
      <c r="D1231" s="610"/>
      <c r="E1231" s="569"/>
    </row>
    <row r="1232">
      <c r="D1232" s="610"/>
      <c r="E1232" s="569"/>
    </row>
    <row r="1233">
      <c r="D1233" s="610"/>
      <c r="E1233" s="569"/>
    </row>
    <row r="1234">
      <c r="D1234" s="610"/>
      <c r="E1234" s="569"/>
    </row>
    <row r="1235">
      <c r="D1235" s="610"/>
      <c r="E1235" s="569"/>
    </row>
    <row r="1236">
      <c r="D1236" s="610"/>
      <c r="E1236" s="569"/>
    </row>
    <row r="1237">
      <c r="D1237" s="610"/>
      <c r="E1237" s="569"/>
    </row>
    <row r="1238">
      <c r="D1238" s="610"/>
      <c r="E1238" s="569"/>
    </row>
    <row r="1239">
      <c r="D1239" s="610"/>
      <c r="E1239" s="569"/>
    </row>
    <row r="1240">
      <c r="D1240" s="610"/>
      <c r="E1240" s="569"/>
    </row>
    <row r="1241">
      <c r="D1241" s="610"/>
      <c r="E1241" s="569"/>
    </row>
    <row r="1242">
      <c r="D1242" s="610"/>
      <c r="E1242" s="569"/>
    </row>
    <row r="1243">
      <c r="D1243" s="610"/>
      <c r="E1243" s="569"/>
    </row>
    <row r="1244">
      <c r="D1244" s="610"/>
      <c r="E1244" s="569"/>
    </row>
    <row r="1245">
      <c r="D1245" s="610"/>
      <c r="E1245" s="569"/>
    </row>
    <row r="1246">
      <c r="D1246" s="610"/>
      <c r="E1246" s="569"/>
    </row>
    <row r="1247">
      <c r="D1247" s="610"/>
      <c r="E1247" s="569"/>
    </row>
    <row r="1248">
      <c r="D1248" s="610"/>
      <c r="E1248" s="569"/>
    </row>
    <row r="1249">
      <c r="D1249" s="610"/>
      <c r="E1249" s="569"/>
    </row>
    <row r="1250">
      <c r="D1250" s="610"/>
      <c r="E1250" s="569"/>
    </row>
    <row r="1251">
      <c r="D1251" s="610"/>
      <c r="E1251" s="569"/>
    </row>
    <row r="1252">
      <c r="D1252" s="610"/>
      <c r="E1252" s="569"/>
    </row>
    <row r="1253">
      <c r="D1253" s="610"/>
      <c r="E1253" s="569"/>
    </row>
    <row r="1254">
      <c r="D1254" s="610"/>
      <c r="E1254" s="569"/>
    </row>
    <row r="1255">
      <c r="D1255" s="610"/>
      <c r="E1255" s="569"/>
    </row>
    <row r="1256">
      <c r="D1256" s="610"/>
      <c r="E1256" s="569"/>
    </row>
    <row r="1257">
      <c r="D1257" s="610"/>
      <c r="E1257" s="569"/>
    </row>
    <row r="1258">
      <c r="D1258" s="610"/>
      <c r="E1258" s="569"/>
    </row>
    <row r="1259">
      <c r="D1259" s="610"/>
      <c r="E1259" s="569"/>
    </row>
    <row r="1260">
      <c r="D1260" s="610"/>
      <c r="E1260" s="569"/>
    </row>
    <row r="1261">
      <c r="D1261" s="610"/>
      <c r="E1261" s="569"/>
    </row>
    <row r="1262">
      <c r="D1262" s="610"/>
      <c r="E1262" s="569"/>
    </row>
    <row r="1263">
      <c r="D1263" s="610"/>
      <c r="E1263" s="569"/>
    </row>
    <row r="1264">
      <c r="D1264" s="610"/>
      <c r="E1264" s="569"/>
    </row>
    <row r="1265">
      <c r="D1265" s="610"/>
      <c r="E1265" s="569"/>
    </row>
    <row r="1266">
      <c r="D1266" s="610"/>
      <c r="E1266" s="569"/>
    </row>
    <row r="1267">
      <c r="D1267" s="610"/>
      <c r="E1267" s="569"/>
    </row>
    <row r="1268">
      <c r="D1268" s="610"/>
      <c r="E1268" s="569"/>
    </row>
    <row r="1269">
      <c r="D1269" s="610"/>
      <c r="E1269" s="569"/>
    </row>
    <row r="1270">
      <c r="D1270" s="610"/>
      <c r="E1270" s="569"/>
    </row>
    <row r="1271">
      <c r="D1271" s="610"/>
      <c r="E1271" s="569"/>
    </row>
    <row r="1272">
      <c r="D1272" s="610"/>
      <c r="E1272" s="569"/>
    </row>
    <row r="1273">
      <c r="D1273" s="610"/>
      <c r="E1273" s="569"/>
    </row>
    <row r="1274">
      <c r="D1274" s="610"/>
      <c r="E1274" s="569"/>
    </row>
    <row r="1275">
      <c r="D1275" s="610"/>
      <c r="E1275" s="569"/>
    </row>
    <row r="1276">
      <c r="D1276" s="610"/>
      <c r="E1276" s="569"/>
    </row>
    <row r="1277">
      <c r="D1277" s="610"/>
      <c r="E1277" s="569"/>
    </row>
    <row r="1278">
      <c r="D1278" s="610"/>
      <c r="E1278" s="569"/>
    </row>
    <row r="1279">
      <c r="D1279" s="610"/>
      <c r="E1279" s="569"/>
    </row>
    <row r="1280">
      <c r="D1280" s="610"/>
      <c r="E1280" s="569"/>
    </row>
    <row r="1281">
      <c r="D1281" s="610"/>
      <c r="E1281" s="569"/>
    </row>
    <row r="1282">
      <c r="D1282" s="610"/>
      <c r="E1282" s="569"/>
    </row>
    <row r="1283">
      <c r="D1283" s="610"/>
      <c r="E1283" s="569"/>
    </row>
    <row r="1284">
      <c r="D1284" s="610"/>
      <c r="E1284" s="569"/>
    </row>
    <row r="1285">
      <c r="D1285" s="610"/>
      <c r="E1285" s="569"/>
    </row>
    <row r="1286">
      <c r="D1286" s="610"/>
      <c r="E1286" s="569"/>
    </row>
    <row r="1287">
      <c r="D1287" s="610"/>
      <c r="E1287" s="569"/>
    </row>
    <row r="1288">
      <c r="D1288" s="610"/>
      <c r="E1288" s="569"/>
    </row>
    <row r="1289">
      <c r="D1289" s="610"/>
      <c r="E1289" s="569"/>
    </row>
    <row r="1290">
      <c r="D1290" s="610"/>
      <c r="E1290" s="569"/>
    </row>
    <row r="1291">
      <c r="D1291" s="610"/>
      <c r="E1291" s="569"/>
    </row>
    <row r="1292">
      <c r="D1292" s="610"/>
      <c r="E1292" s="569"/>
    </row>
    <row r="1293">
      <c r="D1293" s="610"/>
      <c r="E1293" s="569"/>
    </row>
    <row r="1294">
      <c r="D1294" s="610"/>
      <c r="E1294" s="569"/>
    </row>
    <row r="1295">
      <c r="D1295" s="610"/>
      <c r="E1295" s="569"/>
    </row>
    <row r="1296">
      <c r="D1296" s="610"/>
      <c r="E1296" s="569"/>
    </row>
    <row r="1297">
      <c r="D1297" s="610"/>
      <c r="E1297" s="569"/>
    </row>
    <row r="1298">
      <c r="D1298" s="610"/>
      <c r="E1298" s="569"/>
    </row>
    <row r="1299">
      <c r="D1299" s="610"/>
      <c r="E1299" s="569"/>
    </row>
    <row r="1300">
      <c r="D1300" s="610"/>
      <c r="E1300" s="569"/>
    </row>
    <row r="1301">
      <c r="D1301" s="610"/>
      <c r="E1301" s="569"/>
    </row>
    <row r="1302">
      <c r="D1302" s="610"/>
      <c r="E1302" s="569"/>
    </row>
    <row r="1303">
      <c r="D1303" s="610"/>
      <c r="E1303" s="569"/>
    </row>
    <row r="1304">
      <c r="D1304" s="610"/>
      <c r="E1304" s="569"/>
    </row>
    <row r="1305">
      <c r="D1305" s="610"/>
      <c r="E1305" s="569"/>
    </row>
    <row r="1306">
      <c r="D1306" s="610"/>
      <c r="E1306" s="569"/>
    </row>
    <row r="1307">
      <c r="D1307" s="610"/>
      <c r="E1307" s="569"/>
    </row>
    <row r="1308">
      <c r="D1308" s="610"/>
      <c r="E1308" s="569"/>
    </row>
    <row r="1309">
      <c r="D1309" s="610"/>
      <c r="E1309" s="569"/>
    </row>
    <row r="1310">
      <c r="D1310" s="610"/>
      <c r="E1310" s="569"/>
    </row>
    <row r="1311">
      <c r="D1311" s="610"/>
      <c r="E1311" s="569"/>
    </row>
    <row r="1312">
      <c r="D1312" s="610"/>
      <c r="E1312" s="569"/>
    </row>
    <row r="1313">
      <c r="D1313" s="610"/>
      <c r="E1313" s="569"/>
    </row>
    <row r="1314">
      <c r="D1314" s="610"/>
      <c r="E1314" s="569"/>
    </row>
    <row r="1315">
      <c r="D1315" s="610"/>
      <c r="E1315" s="569"/>
    </row>
    <row r="1316">
      <c r="D1316" s="610"/>
      <c r="E1316" s="569"/>
    </row>
    <row r="1317">
      <c r="D1317" s="610"/>
      <c r="E1317" s="569"/>
    </row>
    <row r="1318">
      <c r="D1318" s="610"/>
      <c r="E1318" s="569"/>
    </row>
    <row r="1319">
      <c r="D1319" s="610"/>
      <c r="E1319" s="569"/>
    </row>
    <row r="1320">
      <c r="D1320" s="610"/>
      <c r="E1320" s="569"/>
    </row>
    <row r="1321">
      <c r="D1321" s="610"/>
      <c r="E1321" s="569"/>
    </row>
    <row r="1322">
      <c r="D1322" s="610"/>
      <c r="E1322" s="569"/>
    </row>
    <row r="1323">
      <c r="D1323" s="610"/>
      <c r="E1323" s="569"/>
    </row>
    <row r="1324">
      <c r="D1324" s="610"/>
      <c r="E1324" s="569"/>
    </row>
    <row r="1325">
      <c r="D1325" s="610"/>
      <c r="E1325" s="569"/>
    </row>
    <row r="1326">
      <c r="D1326" s="610"/>
      <c r="E1326" s="569"/>
    </row>
    <row r="1327">
      <c r="D1327" s="610"/>
      <c r="E1327" s="569"/>
    </row>
    <row r="1328">
      <c r="D1328" s="610"/>
      <c r="E1328" s="569"/>
    </row>
    <row r="1329">
      <c r="D1329" s="610"/>
      <c r="E1329" s="569"/>
    </row>
    <row r="1330">
      <c r="D1330" s="610"/>
      <c r="E1330" s="569"/>
    </row>
    <row r="1331">
      <c r="D1331" s="610"/>
      <c r="E1331" s="569"/>
    </row>
    <row r="1332">
      <c r="D1332" s="610"/>
      <c r="E1332" s="569"/>
    </row>
    <row r="1333">
      <c r="D1333" s="610"/>
      <c r="E1333" s="569"/>
    </row>
    <row r="1334">
      <c r="D1334" s="610"/>
      <c r="E1334" s="569"/>
    </row>
    <row r="1335">
      <c r="D1335" s="610"/>
      <c r="E1335" s="569"/>
    </row>
    <row r="1336">
      <c r="D1336" s="610"/>
      <c r="E1336" s="569"/>
    </row>
    <row r="1337">
      <c r="D1337" s="610"/>
      <c r="E1337" s="569"/>
    </row>
    <row r="1338">
      <c r="D1338" s="610"/>
      <c r="E1338" s="569"/>
    </row>
    <row r="1339">
      <c r="D1339" s="610"/>
      <c r="E1339" s="569"/>
    </row>
    <row r="1340">
      <c r="D1340" s="610"/>
      <c r="E1340" s="569"/>
    </row>
    <row r="1341">
      <c r="D1341" s="610"/>
      <c r="E1341" s="569"/>
    </row>
    <row r="1342">
      <c r="D1342" s="610"/>
      <c r="E1342" s="569"/>
    </row>
    <row r="1343">
      <c r="D1343" s="610"/>
      <c r="E1343" s="569"/>
    </row>
    <row r="1344">
      <c r="D1344" s="610"/>
      <c r="E1344" s="569"/>
    </row>
    <row r="1345">
      <c r="D1345" s="610"/>
      <c r="E1345" s="569"/>
    </row>
    <row r="1346">
      <c r="D1346" s="610"/>
      <c r="E1346" s="569"/>
    </row>
    <row r="1347">
      <c r="D1347" s="610"/>
      <c r="E1347" s="569"/>
    </row>
    <row r="1348">
      <c r="D1348" s="610"/>
      <c r="E1348" s="569"/>
    </row>
    <row r="1349">
      <c r="D1349" s="610"/>
      <c r="E1349" s="569"/>
    </row>
    <row r="1350">
      <c r="D1350" s="610"/>
      <c r="E1350" s="569"/>
    </row>
    <row r="1351">
      <c r="D1351" s="610"/>
      <c r="E1351" s="569"/>
    </row>
    <row r="1352">
      <c r="D1352" s="610"/>
      <c r="E1352" s="569"/>
    </row>
    <row r="1353">
      <c r="D1353" s="610"/>
      <c r="E1353" s="569"/>
    </row>
    <row r="1354">
      <c r="D1354" s="610"/>
      <c r="E1354" s="569"/>
    </row>
    <row r="1355">
      <c r="D1355" s="610"/>
      <c r="E1355" s="569"/>
    </row>
    <row r="1356">
      <c r="D1356" s="610"/>
      <c r="E1356" s="569"/>
    </row>
    <row r="1357">
      <c r="D1357" s="610"/>
      <c r="E1357" s="569"/>
    </row>
    <row r="1358">
      <c r="D1358" s="610"/>
      <c r="E1358" s="569"/>
    </row>
    <row r="1359">
      <c r="D1359" s="610"/>
      <c r="E1359" s="569"/>
    </row>
    <row r="1360">
      <c r="D1360" s="610"/>
      <c r="E1360" s="569"/>
    </row>
    <row r="1361">
      <c r="D1361" s="610"/>
      <c r="E1361" s="569"/>
    </row>
    <row r="1362">
      <c r="D1362" s="610"/>
      <c r="E1362" s="569"/>
    </row>
    <row r="1363">
      <c r="D1363" s="610"/>
      <c r="E1363" s="569"/>
    </row>
    <row r="1364">
      <c r="D1364" s="610"/>
      <c r="E1364" s="569"/>
    </row>
    <row r="1365">
      <c r="D1365" s="610"/>
      <c r="E1365" s="569"/>
    </row>
    <row r="1366">
      <c r="D1366" s="610"/>
      <c r="E1366" s="569"/>
    </row>
    <row r="1367">
      <c r="D1367" s="610"/>
      <c r="E1367" s="569"/>
    </row>
    <row r="1368">
      <c r="D1368" s="610"/>
      <c r="E1368" s="569"/>
    </row>
    <row r="1369">
      <c r="D1369" s="610"/>
      <c r="E1369" s="569"/>
    </row>
    <row r="1370">
      <c r="D1370" s="610"/>
      <c r="E1370" s="569"/>
    </row>
    <row r="1371">
      <c r="D1371" s="610"/>
      <c r="E1371" s="569"/>
    </row>
    <row r="1372">
      <c r="D1372" s="610"/>
      <c r="E1372" s="569"/>
    </row>
    <row r="1373">
      <c r="D1373" s="610"/>
      <c r="E1373" s="569"/>
    </row>
    <row r="1374">
      <c r="D1374" s="610"/>
      <c r="E1374" s="569"/>
    </row>
    <row r="1375">
      <c r="D1375" s="610"/>
      <c r="E1375" s="569"/>
    </row>
    <row r="1376">
      <c r="D1376" s="610"/>
      <c r="E1376" s="569"/>
    </row>
    <row r="1377">
      <c r="D1377" s="610"/>
      <c r="E1377" s="569"/>
    </row>
    <row r="1378">
      <c r="D1378" s="610"/>
      <c r="E1378" s="569"/>
    </row>
    <row r="1379">
      <c r="D1379" s="610"/>
      <c r="E1379" s="569"/>
    </row>
    <row r="1380">
      <c r="D1380" s="610"/>
      <c r="E1380" s="569"/>
    </row>
    <row r="1381">
      <c r="D1381" s="610"/>
      <c r="E1381" s="569"/>
    </row>
    <row r="1382">
      <c r="D1382" s="610"/>
      <c r="E1382" s="569"/>
    </row>
    <row r="1383">
      <c r="D1383" s="610"/>
      <c r="E1383" s="569"/>
    </row>
    <row r="1384">
      <c r="D1384" s="610"/>
      <c r="E1384" s="569"/>
    </row>
    <row r="1385">
      <c r="D1385" s="610"/>
      <c r="E1385" s="569"/>
    </row>
    <row r="1386">
      <c r="D1386" s="610"/>
      <c r="E1386" s="569"/>
    </row>
    <row r="1387">
      <c r="D1387" s="610"/>
      <c r="E1387" s="569"/>
    </row>
    <row r="1388">
      <c r="D1388" s="610"/>
      <c r="E1388" s="569"/>
    </row>
    <row r="1389">
      <c r="D1389" s="610"/>
      <c r="E1389" s="569"/>
    </row>
    <row r="1390">
      <c r="D1390" s="610"/>
      <c r="E1390" s="569"/>
    </row>
    <row r="1391">
      <c r="D1391" s="610"/>
      <c r="E1391" s="569"/>
    </row>
    <row r="1392">
      <c r="D1392" s="610"/>
      <c r="E1392" s="569"/>
    </row>
    <row r="1393">
      <c r="D1393" s="610"/>
      <c r="E1393" s="569"/>
    </row>
    <row r="1394">
      <c r="D1394" s="610"/>
      <c r="E1394" s="569"/>
    </row>
    <row r="1395">
      <c r="D1395" s="610"/>
      <c r="E1395" s="569"/>
    </row>
    <row r="1396">
      <c r="D1396" s="610"/>
      <c r="E1396" s="569"/>
    </row>
    <row r="1397">
      <c r="D1397" s="610"/>
      <c r="E1397" s="569"/>
    </row>
    <row r="1398">
      <c r="D1398" s="610"/>
      <c r="E1398" s="569"/>
    </row>
    <row r="1399">
      <c r="D1399" s="610"/>
      <c r="E1399" s="569"/>
    </row>
    <row r="1400">
      <c r="D1400" s="610"/>
      <c r="E1400" s="569"/>
    </row>
    <row r="1401">
      <c r="D1401" s="610"/>
      <c r="E1401" s="569"/>
    </row>
    <row r="1402">
      <c r="D1402" s="610"/>
      <c r="E1402" s="569"/>
    </row>
    <row r="1403">
      <c r="D1403" s="610"/>
      <c r="E1403" s="569"/>
    </row>
    <row r="1404">
      <c r="D1404" s="610"/>
      <c r="E1404" s="569"/>
    </row>
    <row r="1405">
      <c r="D1405" s="610"/>
      <c r="E1405" s="569"/>
    </row>
    <row r="1406">
      <c r="D1406" s="610"/>
      <c r="E1406" s="569"/>
    </row>
    <row r="1407">
      <c r="D1407" s="610"/>
      <c r="E1407" s="569"/>
    </row>
    <row r="1408">
      <c r="D1408" s="610"/>
      <c r="E1408" s="569"/>
    </row>
    <row r="1409">
      <c r="D1409" s="610"/>
      <c r="E1409" s="569"/>
    </row>
    <row r="1410">
      <c r="D1410" s="610"/>
      <c r="E1410" s="569"/>
    </row>
    <row r="1411">
      <c r="D1411" s="610"/>
      <c r="E1411" s="569"/>
    </row>
    <row r="1412">
      <c r="D1412" s="610"/>
      <c r="E1412" s="569"/>
    </row>
    <row r="1413">
      <c r="D1413" s="610"/>
      <c r="E1413" s="569"/>
    </row>
    <row r="1414">
      <c r="D1414" s="610"/>
      <c r="E1414" s="569"/>
    </row>
    <row r="1415">
      <c r="D1415" s="610"/>
      <c r="E1415" s="569"/>
    </row>
    <row r="1416">
      <c r="D1416" s="610"/>
      <c r="E1416" s="569"/>
    </row>
    <row r="1417">
      <c r="D1417" s="610"/>
      <c r="E1417" s="569"/>
    </row>
    <row r="1418">
      <c r="D1418" s="610"/>
      <c r="E1418" s="569"/>
    </row>
    <row r="1419">
      <c r="D1419" s="610"/>
      <c r="E1419" s="569"/>
    </row>
    <row r="1420">
      <c r="D1420" s="610"/>
      <c r="E1420" s="569"/>
    </row>
    <row r="1421">
      <c r="D1421" s="610"/>
      <c r="E1421" s="569"/>
    </row>
    <row r="1422">
      <c r="D1422" s="610"/>
      <c r="E1422" s="569"/>
    </row>
    <row r="1423">
      <c r="D1423" s="610"/>
      <c r="E1423" s="569"/>
    </row>
    <row r="1424">
      <c r="D1424" s="610"/>
      <c r="E1424" s="569"/>
    </row>
    <row r="1425">
      <c r="D1425" s="610"/>
      <c r="E1425" s="569"/>
    </row>
    <row r="1426">
      <c r="D1426" s="610"/>
      <c r="E1426" s="569"/>
    </row>
    <row r="1427">
      <c r="D1427" s="610"/>
      <c r="E1427" s="569"/>
    </row>
    <row r="1428">
      <c r="D1428" s="610"/>
      <c r="E1428" s="569"/>
    </row>
    <row r="1429">
      <c r="D1429" s="610"/>
      <c r="E1429" s="569"/>
    </row>
    <row r="1430">
      <c r="D1430" s="610"/>
      <c r="E1430" s="569"/>
    </row>
    <row r="1431">
      <c r="D1431" s="610"/>
      <c r="E1431" s="569"/>
    </row>
    <row r="1432">
      <c r="D1432" s="610"/>
      <c r="E1432" s="569"/>
    </row>
    <row r="1433">
      <c r="D1433" s="610"/>
      <c r="E1433" s="569"/>
    </row>
    <row r="1434">
      <c r="D1434" s="610"/>
      <c r="E1434" s="569"/>
    </row>
    <row r="1435">
      <c r="D1435" s="610"/>
      <c r="E1435" s="569"/>
    </row>
    <row r="1436">
      <c r="D1436" s="610"/>
      <c r="E1436" s="569"/>
    </row>
    <row r="1437">
      <c r="D1437" s="610"/>
      <c r="E1437" s="569"/>
    </row>
    <row r="1438">
      <c r="D1438" s="610"/>
      <c r="E1438" s="569"/>
    </row>
    <row r="1439">
      <c r="D1439" s="610"/>
      <c r="E1439" s="569"/>
    </row>
    <row r="1440">
      <c r="D1440" s="610"/>
      <c r="E1440" s="569"/>
    </row>
    <row r="1441">
      <c r="D1441" s="610"/>
      <c r="E1441" s="569"/>
    </row>
    <row r="1442">
      <c r="D1442" s="610"/>
      <c r="E1442" s="569"/>
    </row>
    <row r="1443">
      <c r="D1443" s="610"/>
      <c r="E1443" s="569"/>
    </row>
    <row r="1444">
      <c r="D1444" s="610"/>
      <c r="E1444" s="569"/>
    </row>
    <row r="1445">
      <c r="D1445" s="610"/>
      <c r="E1445" s="569"/>
    </row>
    <row r="1446">
      <c r="D1446" s="610"/>
      <c r="E1446" s="569"/>
    </row>
    <row r="1447">
      <c r="D1447" s="610"/>
      <c r="E1447" s="569"/>
    </row>
    <row r="1448">
      <c r="D1448" s="610"/>
      <c r="E1448" s="569"/>
    </row>
    <row r="1449">
      <c r="D1449" s="610"/>
      <c r="E1449" s="569"/>
    </row>
    <row r="1450">
      <c r="D1450" s="610"/>
      <c r="E1450" s="569"/>
    </row>
    <row r="1451">
      <c r="D1451" s="610"/>
      <c r="E1451" s="569"/>
    </row>
    <row r="1452">
      <c r="D1452" s="610"/>
      <c r="E1452" s="569"/>
    </row>
    <row r="1453">
      <c r="D1453" s="610"/>
      <c r="E1453" s="569"/>
    </row>
    <row r="1454">
      <c r="D1454" s="610"/>
      <c r="E1454" s="569"/>
    </row>
    <row r="1455">
      <c r="D1455" s="610"/>
      <c r="E1455" s="569"/>
    </row>
    <row r="1456">
      <c r="D1456" s="610"/>
      <c r="E1456" s="569"/>
    </row>
    <row r="1457">
      <c r="D1457" s="610"/>
      <c r="E1457" s="569"/>
    </row>
    <row r="1458">
      <c r="D1458" s="610"/>
      <c r="E1458" s="569"/>
    </row>
    <row r="1459">
      <c r="D1459" s="610"/>
      <c r="E1459" s="569"/>
    </row>
    <row r="1460">
      <c r="D1460" s="610"/>
      <c r="E1460" s="569"/>
    </row>
    <row r="1461">
      <c r="D1461" s="610"/>
      <c r="E1461" s="569"/>
    </row>
    <row r="1462">
      <c r="D1462" s="610"/>
      <c r="E1462" s="569"/>
    </row>
    <row r="1463">
      <c r="D1463" s="610"/>
      <c r="E1463" s="569"/>
    </row>
    <row r="1464">
      <c r="D1464" s="610"/>
      <c r="E1464" s="569"/>
    </row>
    <row r="1465">
      <c r="D1465" s="610"/>
      <c r="E1465" s="569"/>
    </row>
    <row r="1466">
      <c r="D1466" s="610"/>
      <c r="E1466" s="569"/>
    </row>
    <row r="1467">
      <c r="D1467" s="610"/>
      <c r="E1467" s="569"/>
    </row>
    <row r="1468">
      <c r="D1468" s="610"/>
      <c r="E1468" s="569"/>
    </row>
    <row r="1469">
      <c r="D1469" s="610"/>
      <c r="E1469" s="569"/>
    </row>
    <row r="1470">
      <c r="D1470" s="610"/>
      <c r="E1470" s="569"/>
    </row>
    <row r="1471">
      <c r="D1471" s="610"/>
      <c r="E1471" s="569"/>
    </row>
    <row r="1472">
      <c r="D1472" s="610"/>
      <c r="E1472" s="569"/>
    </row>
    <row r="1473">
      <c r="D1473" s="610"/>
      <c r="E1473" s="569"/>
    </row>
    <row r="1474">
      <c r="D1474" s="610"/>
      <c r="E1474" s="569"/>
    </row>
    <row r="1475">
      <c r="D1475" s="610"/>
      <c r="E1475" s="569"/>
    </row>
    <row r="1476">
      <c r="D1476" s="610"/>
      <c r="E1476" s="569"/>
    </row>
    <row r="1477">
      <c r="D1477" s="610"/>
      <c r="E1477" s="569"/>
    </row>
    <row r="1478">
      <c r="D1478" s="610"/>
      <c r="E1478" s="569"/>
    </row>
    <row r="1479">
      <c r="D1479" s="610"/>
      <c r="E1479" s="569"/>
    </row>
    <row r="1480">
      <c r="D1480" s="610"/>
      <c r="E1480" s="569"/>
    </row>
    <row r="1481">
      <c r="D1481" s="610"/>
      <c r="E1481" s="569"/>
    </row>
    <row r="1482">
      <c r="D1482" s="610"/>
      <c r="E1482" s="569"/>
    </row>
    <row r="1483">
      <c r="D1483" s="610"/>
      <c r="E1483" s="569"/>
    </row>
    <row r="1484">
      <c r="D1484" s="610"/>
      <c r="E1484" s="569"/>
    </row>
    <row r="1485">
      <c r="D1485" s="610"/>
      <c r="E1485" s="569"/>
    </row>
    <row r="1486">
      <c r="D1486" s="610"/>
      <c r="E1486" s="569"/>
    </row>
    <row r="1487">
      <c r="D1487" s="610"/>
      <c r="E1487" s="569"/>
    </row>
    <row r="1488">
      <c r="D1488" s="610"/>
      <c r="E1488" s="569"/>
    </row>
    <row r="1489">
      <c r="D1489" s="610"/>
      <c r="E1489" s="569"/>
    </row>
    <row r="1490">
      <c r="D1490" s="610"/>
      <c r="E1490" s="569"/>
    </row>
    <row r="1491">
      <c r="D1491" s="610"/>
      <c r="E1491" s="569"/>
    </row>
    <row r="1492">
      <c r="D1492" s="610"/>
      <c r="E1492" s="569"/>
    </row>
    <row r="1493">
      <c r="D1493" s="610"/>
      <c r="E1493" s="569"/>
    </row>
    <row r="1494">
      <c r="D1494" s="610"/>
      <c r="E1494" s="569"/>
    </row>
    <row r="1495">
      <c r="D1495" s="610"/>
      <c r="E1495" s="569"/>
    </row>
    <row r="1496">
      <c r="D1496" s="610"/>
      <c r="E1496" s="569"/>
    </row>
    <row r="1497">
      <c r="D1497" s="610"/>
      <c r="E1497" s="569"/>
    </row>
    <row r="1498">
      <c r="D1498" s="610"/>
      <c r="E1498" s="569"/>
    </row>
    <row r="1499">
      <c r="D1499" s="610"/>
      <c r="E1499" s="569"/>
    </row>
    <row r="1500">
      <c r="D1500" s="610"/>
      <c r="E1500" s="569"/>
    </row>
    <row r="1501">
      <c r="D1501" s="610"/>
      <c r="E1501" s="569"/>
    </row>
    <row r="1502">
      <c r="D1502" s="610"/>
      <c r="E1502" s="569"/>
    </row>
    <row r="1503">
      <c r="D1503" s="610"/>
      <c r="E1503" s="569"/>
    </row>
    <row r="1504">
      <c r="D1504" s="610"/>
      <c r="E1504" s="569"/>
    </row>
    <row r="1505">
      <c r="D1505" s="610"/>
      <c r="E1505" s="569"/>
    </row>
    <row r="1506">
      <c r="D1506" s="610"/>
      <c r="E1506" s="569"/>
    </row>
    <row r="1507">
      <c r="D1507" s="610"/>
      <c r="E1507" s="569"/>
    </row>
    <row r="1508">
      <c r="D1508" s="610"/>
      <c r="E1508" s="569"/>
    </row>
    <row r="1509">
      <c r="D1509" s="610"/>
      <c r="E1509" s="569"/>
    </row>
    <row r="1510">
      <c r="D1510" s="610"/>
      <c r="E1510" s="569"/>
    </row>
    <row r="1511">
      <c r="D1511" s="610"/>
      <c r="E1511" s="569"/>
    </row>
    <row r="1512">
      <c r="D1512" s="610"/>
      <c r="E1512" s="569"/>
    </row>
    <row r="1513">
      <c r="D1513" s="610"/>
      <c r="E1513" s="569"/>
    </row>
    <row r="1514">
      <c r="D1514" s="610"/>
      <c r="E1514" s="569"/>
    </row>
    <row r="1515">
      <c r="D1515" s="610"/>
      <c r="E1515" s="569"/>
    </row>
    <row r="1516">
      <c r="D1516" s="610"/>
      <c r="E1516" s="569"/>
    </row>
    <row r="1517">
      <c r="D1517" s="610"/>
      <c r="E1517" s="569"/>
    </row>
    <row r="1518">
      <c r="D1518" s="610"/>
      <c r="E1518" s="569"/>
    </row>
    <row r="1519">
      <c r="D1519" s="610"/>
      <c r="E1519" s="569"/>
    </row>
    <row r="1520">
      <c r="D1520" s="610"/>
      <c r="E1520" s="569"/>
    </row>
    <row r="1521">
      <c r="D1521" s="610"/>
      <c r="E1521" s="569"/>
    </row>
    <row r="1522">
      <c r="D1522" s="610"/>
      <c r="E1522" s="569"/>
    </row>
    <row r="1523">
      <c r="D1523" s="610"/>
      <c r="E1523" s="569"/>
    </row>
    <row r="1524">
      <c r="D1524" s="610"/>
      <c r="E1524" s="569"/>
    </row>
    <row r="1525">
      <c r="D1525" s="610"/>
      <c r="E1525" s="569"/>
    </row>
    <row r="1526">
      <c r="D1526" s="610"/>
      <c r="E1526" s="569"/>
    </row>
    <row r="1527">
      <c r="D1527" s="610"/>
      <c r="E1527" s="569"/>
    </row>
    <row r="1528">
      <c r="D1528" s="610"/>
      <c r="E1528" s="569"/>
    </row>
    <row r="1529">
      <c r="D1529" s="610"/>
      <c r="E1529" s="569"/>
    </row>
    <row r="1530">
      <c r="D1530" s="610"/>
      <c r="E1530" s="569"/>
    </row>
    <row r="1531">
      <c r="D1531" s="610"/>
      <c r="E1531" s="569"/>
    </row>
    <row r="1532">
      <c r="D1532" s="610"/>
      <c r="E1532" s="569"/>
    </row>
    <row r="1533">
      <c r="D1533" s="610"/>
      <c r="E1533" s="569"/>
    </row>
    <row r="1534">
      <c r="D1534" s="610"/>
      <c r="E1534" s="569"/>
    </row>
    <row r="1535">
      <c r="D1535" s="610"/>
      <c r="E1535" s="569"/>
    </row>
    <row r="1536">
      <c r="D1536" s="610"/>
      <c r="E1536" s="569"/>
    </row>
    <row r="1537">
      <c r="D1537" s="610"/>
      <c r="E1537" s="569"/>
    </row>
    <row r="1538">
      <c r="D1538" s="610"/>
      <c r="E1538" s="569"/>
    </row>
    <row r="1539">
      <c r="D1539" s="610"/>
      <c r="E1539" s="569"/>
    </row>
    <row r="1540">
      <c r="D1540" s="610"/>
      <c r="E1540" s="569"/>
    </row>
    <row r="1541">
      <c r="D1541" s="610"/>
      <c r="E1541" s="569"/>
    </row>
    <row r="1542">
      <c r="D1542" s="610"/>
      <c r="E1542" s="569"/>
    </row>
    <row r="1543">
      <c r="D1543" s="610"/>
      <c r="E1543" s="569"/>
    </row>
    <row r="1544">
      <c r="D1544" s="610"/>
      <c r="E1544" s="569"/>
    </row>
    <row r="1545">
      <c r="D1545" s="610"/>
      <c r="E1545" s="569"/>
    </row>
    <row r="1546">
      <c r="D1546" s="610"/>
      <c r="E1546" s="569"/>
    </row>
    <row r="1547">
      <c r="D1547" s="610"/>
      <c r="E1547" s="569"/>
    </row>
    <row r="1548">
      <c r="D1548" s="610"/>
      <c r="E1548" s="569"/>
    </row>
    <row r="1549">
      <c r="D1549" s="610"/>
      <c r="E1549" s="569"/>
    </row>
    <row r="1550">
      <c r="D1550" s="610"/>
      <c r="E1550" s="569"/>
    </row>
    <row r="1551">
      <c r="D1551" s="610"/>
      <c r="E1551" s="569"/>
    </row>
    <row r="1552">
      <c r="D1552" s="610"/>
      <c r="E1552" s="569"/>
    </row>
    <row r="1553">
      <c r="D1553" s="610"/>
      <c r="E1553" s="569"/>
    </row>
    <row r="1554">
      <c r="D1554" s="610"/>
      <c r="E1554" s="569"/>
    </row>
    <row r="1555">
      <c r="D1555" s="610"/>
      <c r="E1555" s="569"/>
    </row>
    <row r="1556">
      <c r="D1556" s="610"/>
      <c r="E1556" s="569"/>
    </row>
    <row r="1557">
      <c r="D1557" s="610"/>
      <c r="E1557" s="569"/>
    </row>
    <row r="1558">
      <c r="D1558" s="610"/>
      <c r="E1558" s="569"/>
    </row>
    <row r="1559">
      <c r="D1559" s="610"/>
      <c r="E1559" s="569"/>
    </row>
    <row r="1560">
      <c r="D1560" s="610"/>
      <c r="E1560" s="569"/>
    </row>
    <row r="1561">
      <c r="D1561" s="610"/>
      <c r="E1561" s="569"/>
    </row>
    <row r="1562">
      <c r="D1562" s="610"/>
      <c r="E1562" s="569"/>
    </row>
    <row r="1563">
      <c r="D1563" s="610"/>
      <c r="E1563" s="569"/>
    </row>
    <row r="1564">
      <c r="D1564" s="610"/>
      <c r="E1564" s="569"/>
    </row>
    <row r="1565">
      <c r="D1565" s="610"/>
      <c r="E1565" s="569"/>
    </row>
    <row r="1566">
      <c r="D1566" s="610"/>
      <c r="E1566" s="569"/>
    </row>
    <row r="1567">
      <c r="D1567" s="610"/>
      <c r="E1567" s="569"/>
    </row>
    <row r="1568">
      <c r="D1568" s="610"/>
      <c r="E1568" s="569"/>
    </row>
    <row r="1569">
      <c r="D1569" s="610"/>
      <c r="E1569" s="569"/>
    </row>
    <row r="1570">
      <c r="D1570" s="610"/>
      <c r="E1570" s="569"/>
    </row>
    <row r="1571">
      <c r="D1571" s="610"/>
      <c r="E1571" s="569"/>
    </row>
    <row r="1572">
      <c r="D1572" s="610"/>
      <c r="E1572" s="569"/>
    </row>
    <row r="1573">
      <c r="D1573" s="610"/>
      <c r="E1573" s="569"/>
    </row>
    <row r="1574">
      <c r="D1574" s="610"/>
      <c r="E1574" s="569"/>
    </row>
    <row r="1575">
      <c r="D1575" s="610"/>
      <c r="E1575" s="569"/>
    </row>
    <row r="1576">
      <c r="D1576" s="610"/>
      <c r="E1576" s="569"/>
    </row>
    <row r="1577">
      <c r="D1577" s="610"/>
      <c r="E1577" s="569"/>
    </row>
    <row r="1578">
      <c r="D1578" s="610"/>
      <c r="E1578" s="569"/>
    </row>
    <row r="1579">
      <c r="D1579" s="610"/>
      <c r="E1579" s="569"/>
    </row>
    <row r="1580">
      <c r="D1580" s="610"/>
      <c r="E1580" s="569"/>
    </row>
    <row r="1581">
      <c r="D1581" s="610"/>
      <c r="E1581" s="569"/>
    </row>
    <row r="1582">
      <c r="D1582" s="610"/>
      <c r="E1582" s="569"/>
    </row>
    <row r="1583">
      <c r="D1583" s="610"/>
      <c r="E1583" s="569"/>
    </row>
    <row r="1584">
      <c r="D1584" s="610"/>
      <c r="E1584" s="569"/>
    </row>
    <row r="1585">
      <c r="D1585" s="610"/>
      <c r="E1585" s="569"/>
    </row>
    <row r="1586">
      <c r="D1586" s="610"/>
      <c r="E1586" s="569"/>
    </row>
    <row r="1587">
      <c r="D1587" s="610"/>
      <c r="E1587" s="569"/>
    </row>
    <row r="1588">
      <c r="D1588" s="610"/>
      <c r="E1588" s="569"/>
    </row>
    <row r="1589">
      <c r="D1589" s="610"/>
      <c r="E1589" s="569"/>
    </row>
    <row r="1590">
      <c r="D1590" s="610"/>
      <c r="E1590" s="569"/>
    </row>
    <row r="1591">
      <c r="D1591" s="610"/>
      <c r="E1591" s="569"/>
    </row>
    <row r="1592">
      <c r="D1592" s="610"/>
      <c r="E1592" s="569"/>
    </row>
    <row r="1593">
      <c r="D1593" s="610"/>
      <c r="E1593" s="569"/>
    </row>
    <row r="1594">
      <c r="D1594" s="610"/>
      <c r="E1594" s="569"/>
    </row>
    <row r="1595">
      <c r="D1595" s="610"/>
      <c r="E1595" s="569"/>
    </row>
    <row r="1596">
      <c r="D1596" s="610"/>
      <c r="E1596" s="569"/>
    </row>
    <row r="1597">
      <c r="D1597" s="610"/>
      <c r="E1597" s="569"/>
    </row>
    <row r="1598">
      <c r="D1598" s="610"/>
      <c r="E1598" s="569"/>
    </row>
    <row r="1599">
      <c r="D1599" s="610"/>
      <c r="E1599" s="569"/>
    </row>
    <row r="1600">
      <c r="D1600" s="610"/>
      <c r="E1600" s="569"/>
    </row>
    <row r="1601">
      <c r="D1601" s="610"/>
      <c r="E1601" s="569"/>
    </row>
    <row r="1602">
      <c r="D1602" s="610"/>
      <c r="E1602" s="569"/>
    </row>
    <row r="1603">
      <c r="D1603" s="610"/>
      <c r="E1603" s="569"/>
    </row>
    <row r="1604">
      <c r="D1604" s="610"/>
      <c r="E1604" s="569"/>
    </row>
    <row r="1605">
      <c r="D1605" s="610"/>
      <c r="E1605" s="569"/>
    </row>
    <row r="1606">
      <c r="D1606" s="610"/>
      <c r="E1606" s="569"/>
    </row>
    <row r="1607">
      <c r="D1607" s="610"/>
      <c r="E1607" s="569"/>
    </row>
    <row r="1608">
      <c r="D1608" s="610"/>
      <c r="E1608" s="569"/>
    </row>
    <row r="1609">
      <c r="D1609" s="610"/>
      <c r="E1609" s="569"/>
    </row>
    <row r="1610">
      <c r="D1610" s="610"/>
      <c r="E1610" s="569"/>
    </row>
    <row r="1611">
      <c r="D1611" s="610"/>
      <c r="E1611" s="569"/>
    </row>
    <row r="1612">
      <c r="D1612" s="610"/>
      <c r="E1612" s="569"/>
    </row>
    <row r="1613">
      <c r="D1613" s="610"/>
      <c r="E1613" s="56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8.63"/>
    <col customWidth="1" min="3" max="3" width="20.75"/>
    <col customWidth="1" min="4" max="4" width="16.63"/>
    <col customWidth="1" min="5" max="5" width="21.0"/>
    <col customWidth="1" min="6" max="6" width="7.88"/>
    <col customWidth="1" min="7" max="7" width="11.63"/>
    <col customWidth="1" min="8" max="8" width="14.25"/>
    <col customWidth="1" min="9" max="9" width="15.25"/>
    <col customWidth="1" min="10" max="12" width="13.63"/>
    <col customWidth="1" min="13" max="13" width="14.13"/>
    <col customWidth="1" min="14" max="14" width="13.75"/>
    <col customWidth="1" min="15" max="15" width="13.13"/>
    <col customWidth="1" min="16" max="16" width="12.75"/>
    <col customWidth="1" min="17" max="18" width="13.13"/>
    <col customWidth="1" min="19" max="19" width="15.88"/>
    <col customWidth="1" min="20" max="20" width="11.25"/>
    <col customWidth="1" min="21" max="21" width="14.38"/>
    <col customWidth="1" min="22" max="22" width="15.88"/>
    <col customWidth="1" min="23" max="23" width="12.88"/>
    <col customWidth="1" min="24" max="24" width="15.0"/>
    <col customWidth="1" min="25" max="25" width="19.13"/>
    <col customWidth="1" min="26" max="26" width="16.13"/>
    <col customWidth="1" min="27" max="27" width="22.75"/>
    <col customWidth="1" min="28" max="28" width="20.0"/>
    <col customWidth="1" min="29" max="29" width="80.88"/>
    <col customWidth="1" min="30" max="43" width="14.38"/>
  </cols>
  <sheetData>
    <row r="1">
      <c r="A1" s="11" t="s">
        <v>0</v>
      </c>
      <c r="B1" s="37" t="s">
        <v>17</v>
      </c>
      <c r="C1" s="37" t="s">
        <v>19</v>
      </c>
      <c r="D1" s="11" t="s">
        <v>1</v>
      </c>
      <c r="E1" s="11" t="s">
        <v>2</v>
      </c>
      <c r="F1" s="238" t="s">
        <v>3</v>
      </c>
      <c r="G1" s="26" t="s">
        <v>26</v>
      </c>
      <c r="H1" s="26" t="s">
        <v>650</v>
      </c>
      <c r="I1" s="26" t="s">
        <v>35</v>
      </c>
      <c r="J1" s="26" t="s">
        <v>36</v>
      </c>
      <c r="K1" s="26" t="s">
        <v>654</v>
      </c>
      <c r="L1" s="26" t="s">
        <v>655</v>
      </c>
      <c r="M1" s="238" t="s">
        <v>39</v>
      </c>
      <c r="N1" s="238" t="s">
        <v>7</v>
      </c>
      <c r="O1" s="26" t="s">
        <v>40</v>
      </c>
      <c r="P1" s="26" t="s">
        <v>43</v>
      </c>
      <c r="Q1" s="26" t="s">
        <v>44</v>
      </c>
      <c r="R1" s="26" t="s">
        <v>45</v>
      </c>
      <c r="S1" s="32" t="s">
        <v>46</v>
      </c>
      <c r="T1" s="26" t="s">
        <v>49</v>
      </c>
      <c r="U1" s="37" t="s">
        <v>50</v>
      </c>
      <c r="V1" s="37" t="s">
        <v>46</v>
      </c>
      <c r="W1" s="37" t="s">
        <v>56</v>
      </c>
      <c r="X1" s="37" t="s">
        <v>46</v>
      </c>
      <c r="Y1" s="37" t="s">
        <v>53</v>
      </c>
      <c r="Z1" s="37" t="s">
        <v>46</v>
      </c>
      <c r="AA1" s="37" t="s">
        <v>59</v>
      </c>
      <c r="AB1" s="37" t="s">
        <v>46</v>
      </c>
      <c r="AC1" s="241" t="s">
        <v>66</v>
      </c>
    </row>
    <row r="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60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3">
      <c r="A3" s="242">
        <v>1.0</v>
      </c>
      <c r="B3" s="164">
        <v>45927.0</v>
      </c>
      <c r="C3" s="164">
        <v>45928.0</v>
      </c>
      <c r="D3" s="243" t="s">
        <v>54</v>
      </c>
      <c r="E3" s="165" t="s">
        <v>565</v>
      </c>
      <c r="F3" s="86">
        <v>116554.0</v>
      </c>
      <c r="G3" s="218"/>
      <c r="H3" s="218">
        <v>30.56</v>
      </c>
      <c r="I3" s="96">
        <f t="shared" ref="I3:I83" si="1">F3*H3</f>
        <v>3561890.24</v>
      </c>
      <c r="J3" s="96">
        <f t="shared" ref="J3:J72" si="2">I3*0.01</f>
        <v>35618.9024</v>
      </c>
      <c r="K3" s="96"/>
      <c r="L3" s="96"/>
      <c r="M3" s="95">
        <f>ROUND(IF(H3&gt;31,31,H3)*53.33%*F3,-3)</f>
        <v>1900000</v>
      </c>
      <c r="N3" s="95">
        <f t="shared" ref="N3:N30" si="3">I3-M3-U3-AA3-J3-Y3</f>
        <v>1526271.338</v>
      </c>
      <c r="O3" s="71" t="s">
        <v>91</v>
      </c>
      <c r="P3" s="71" t="s">
        <v>91</v>
      </c>
      <c r="Q3" s="71" t="s">
        <v>91</v>
      </c>
      <c r="R3" s="71" t="s">
        <v>91</v>
      </c>
      <c r="S3" s="71" t="s">
        <v>91</v>
      </c>
      <c r="T3" s="166">
        <v>35000.0</v>
      </c>
      <c r="U3" s="244">
        <f t="shared" ref="U3:U4" si="4">0*T3</f>
        <v>0</v>
      </c>
      <c r="V3" s="84" t="s">
        <v>450</v>
      </c>
      <c r="W3" s="71" t="s">
        <v>91</v>
      </c>
      <c r="X3" s="71"/>
      <c r="Y3" s="85">
        <v>0.0</v>
      </c>
      <c r="Z3" s="86" t="s">
        <v>91</v>
      </c>
      <c r="AA3" s="85">
        <v>100000.0</v>
      </c>
      <c r="AB3" s="250" t="s">
        <v>701</v>
      </c>
      <c r="AC3" s="253" t="s">
        <v>702</v>
      </c>
    </row>
    <row r="4">
      <c r="A4" s="242">
        <v>2.0</v>
      </c>
      <c r="B4" s="164">
        <v>45931.0</v>
      </c>
      <c r="C4" s="164">
        <v>45933.0</v>
      </c>
      <c r="D4" s="165" t="s">
        <v>89</v>
      </c>
      <c r="E4" s="165" t="s">
        <v>530</v>
      </c>
      <c r="F4" s="86">
        <v>190080.0</v>
      </c>
      <c r="G4" s="103"/>
      <c r="H4" s="103">
        <v>31.84</v>
      </c>
      <c r="I4" s="96">
        <f t="shared" si="1"/>
        <v>6052147.2</v>
      </c>
      <c r="J4" s="96">
        <f t="shared" si="2"/>
        <v>60521.472</v>
      </c>
      <c r="K4" s="96"/>
      <c r="L4" s="96"/>
      <c r="M4" s="95">
        <f t="shared" ref="M4:M7" si="5">ROUND(IF(H4&gt;31,31,H4)*47.5182%*F4,-3)</f>
        <v>2800000</v>
      </c>
      <c r="N4" s="95">
        <f t="shared" si="3"/>
        <v>3091625.728</v>
      </c>
      <c r="O4" s="71" t="s">
        <v>91</v>
      </c>
      <c r="P4" s="71" t="s">
        <v>91</v>
      </c>
      <c r="Q4" s="71" t="s">
        <v>91</v>
      </c>
      <c r="R4" s="71" t="s">
        <v>91</v>
      </c>
      <c r="S4" s="71" t="s">
        <v>91</v>
      </c>
      <c r="T4" s="166">
        <v>50000.0</v>
      </c>
      <c r="U4" s="244">
        <f t="shared" si="4"/>
        <v>0</v>
      </c>
      <c r="V4" s="84" t="s">
        <v>450</v>
      </c>
      <c r="W4" s="71" t="s">
        <v>91</v>
      </c>
      <c r="X4" s="71"/>
      <c r="Y4" s="85">
        <v>0.0</v>
      </c>
      <c r="Z4" s="86" t="s">
        <v>91</v>
      </c>
      <c r="AA4" s="85">
        <v>100000.0</v>
      </c>
      <c r="AB4" s="250" t="s">
        <v>718</v>
      </c>
      <c r="AC4" s="253" t="s">
        <v>721</v>
      </c>
    </row>
    <row r="5">
      <c r="A5" s="242">
        <v>3.0</v>
      </c>
      <c r="B5" s="164">
        <v>45937.0</v>
      </c>
      <c r="C5" s="164">
        <v>45938.0</v>
      </c>
      <c r="D5" s="165" t="s">
        <v>89</v>
      </c>
      <c r="E5" s="165" t="s">
        <v>530</v>
      </c>
      <c r="F5" s="86">
        <v>190080.0</v>
      </c>
      <c r="G5" s="103"/>
      <c r="H5" s="103">
        <v>31.88</v>
      </c>
      <c r="I5" s="96">
        <f t="shared" si="1"/>
        <v>6059750.4</v>
      </c>
      <c r="J5" s="96">
        <f t="shared" si="2"/>
        <v>60597.504</v>
      </c>
      <c r="K5" s="96"/>
      <c r="L5" s="96"/>
      <c r="M5" s="95">
        <f t="shared" si="5"/>
        <v>2800000</v>
      </c>
      <c r="N5" s="95">
        <f t="shared" si="3"/>
        <v>3049152.896</v>
      </c>
      <c r="O5" s="71" t="s">
        <v>91</v>
      </c>
      <c r="P5" s="71" t="s">
        <v>91</v>
      </c>
      <c r="Q5" s="71" t="s">
        <v>91</v>
      </c>
      <c r="R5" s="71" t="s">
        <v>91</v>
      </c>
      <c r="S5" s="71" t="s">
        <v>91</v>
      </c>
      <c r="T5" s="166">
        <v>50000.0</v>
      </c>
      <c r="U5" s="244">
        <f>1*T5</f>
        <v>50000</v>
      </c>
      <c r="V5" s="84" t="s">
        <v>450</v>
      </c>
      <c r="W5" s="71" t="s">
        <v>91</v>
      </c>
      <c r="X5" s="71"/>
      <c r="Y5" s="85">
        <v>0.0</v>
      </c>
      <c r="Z5" s="86" t="s">
        <v>91</v>
      </c>
      <c r="AA5" s="85">
        <v>100000.0</v>
      </c>
      <c r="AB5" s="250" t="s">
        <v>734</v>
      </c>
      <c r="AC5" s="253" t="s">
        <v>721</v>
      </c>
    </row>
    <row r="6">
      <c r="A6" s="242">
        <v>4.0</v>
      </c>
      <c r="B6" s="164">
        <v>45939.0</v>
      </c>
      <c r="C6" s="164">
        <v>45941.0</v>
      </c>
      <c r="D6" s="165" t="s">
        <v>89</v>
      </c>
      <c r="E6" s="165" t="s">
        <v>530</v>
      </c>
      <c r="F6" s="86">
        <v>190080.0</v>
      </c>
      <c r="G6" s="103"/>
      <c r="H6" s="103">
        <v>33.35</v>
      </c>
      <c r="I6" s="96">
        <f t="shared" si="1"/>
        <v>6339168</v>
      </c>
      <c r="J6" s="96">
        <f t="shared" si="2"/>
        <v>63391.68</v>
      </c>
      <c r="K6" s="96"/>
      <c r="L6" s="96"/>
      <c r="M6" s="95">
        <f t="shared" si="5"/>
        <v>2800000</v>
      </c>
      <c r="N6" s="95">
        <f t="shared" si="3"/>
        <v>3275776.32</v>
      </c>
      <c r="O6" s="71" t="s">
        <v>91</v>
      </c>
      <c r="P6" s="71" t="s">
        <v>91</v>
      </c>
      <c r="Q6" s="71" t="s">
        <v>91</v>
      </c>
      <c r="R6" s="71" t="s">
        <v>91</v>
      </c>
      <c r="S6" s="71" t="s">
        <v>91</v>
      </c>
      <c r="T6" s="166">
        <v>50000.0</v>
      </c>
      <c r="U6" s="244">
        <f>2*T6</f>
        <v>100000</v>
      </c>
      <c r="V6" s="84" t="s">
        <v>450</v>
      </c>
      <c r="W6" s="71" t="s">
        <v>91</v>
      </c>
      <c r="X6" s="71"/>
      <c r="Y6" s="85">
        <v>0.0</v>
      </c>
      <c r="Z6" s="86" t="s">
        <v>91</v>
      </c>
      <c r="AA6" s="85">
        <v>100000.0</v>
      </c>
      <c r="AB6" s="250" t="s">
        <v>752</v>
      </c>
      <c r="AC6" s="260" t="s">
        <v>753</v>
      </c>
    </row>
    <row r="7">
      <c r="A7" s="242">
        <v>5.0</v>
      </c>
      <c r="B7" s="164">
        <v>45944.0</v>
      </c>
      <c r="C7" s="164">
        <v>45945.0</v>
      </c>
      <c r="D7" s="165" t="s">
        <v>89</v>
      </c>
      <c r="E7" s="165" t="s">
        <v>530</v>
      </c>
      <c r="F7" s="86">
        <v>190080.0</v>
      </c>
      <c r="G7" s="103"/>
      <c r="H7" s="103">
        <v>34.28</v>
      </c>
      <c r="I7" s="96">
        <f t="shared" si="1"/>
        <v>6515942.4</v>
      </c>
      <c r="J7" s="96">
        <f t="shared" si="2"/>
        <v>65159.424</v>
      </c>
      <c r="K7" s="96"/>
      <c r="L7" s="96"/>
      <c r="M7" s="95">
        <f t="shared" si="5"/>
        <v>2800000</v>
      </c>
      <c r="N7" s="95">
        <f t="shared" si="3"/>
        <v>3400782.976</v>
      </c>
      <c r="O7" s="71" t="s">
        <v>91</v>
      </c>
      <c r="P7" s="71" t="s">
        <v>91</v>
      </c>
      <c r="Q7" s="71" t="s">
        <v>91</v>
      </c>
      <c r="R7" s="71" t="s">
        <v>91</v>
      </c>
      <c r="S7" s="71" t="s">
        <v>91</v>
      </c>
      <c r="T7" s="166">
        <v>50000.0</v>
      </c>
      <c r="U7" s="244">
        <f>3*T7</f>
        <v>150000</v>
      </c>
      <c r="V7" s="84" t="s">
        <v>450</v>
      </c>
      <c r="W7" s="71" t="s">
        <v>91</v>
      </c>
      <c r="X7" s="71"/>
      <c r="Y7" s="85">
        <v>0.0</v>
      </c>
      <c r="Z7" s="86" t="s">
        <v>91</v>
      </c>
      <c r="AA7" s="85">
        <v>100000.0</v>
      </c>
      <c r="AB7" s="250" t="s">
        <v>767</v>
      </c>
      <c r="AC7" s="253" t="s">
        <v>768</v>
      </c>
    </row>
    <row r="8">
      <c r="A8" s="242">
        <v>6.0</v>
      </c>
      <c r="B8" s="164">
        <v>45949.0</v>
      </c>
      <c r="C8" s="164">
        <v>45951.0</v>
      </c>
      <c r="D8" s="243" t="s">
        <v>54</v>
      </c>
      <c r="E8" s="165" t="s">
        <v>771</v>
      </c>
      <c r="F8" s="86">
        <v>116554.0</v>
      </c>
      <c r="G8" s="218"/>
      <c r="H8" s="218">
        <v>30.36</v>
      </c>
      <c r="I8" s="96">
        <f t="shared" si="1"/>
        <v>3538579.44</v>
      </c>
      <c r="J8" s="96">
        <f t="shared" si="2"/>
        <v>35385.7944</v>
      </c>
      <c r="K8" s="96"/>
      <c r="L8" s="96"/>
      <c r="M8" s="95">
        <f>ROUND(IF(H8&gt;31,31,H8)*53.68%*F8,-3)</f>
        <v>1900000</v>
      </c>
      <c r="N8" s="95">
        <f t="shared" si="3"/>
        <v>1503193.646</v>
      </c>
      <c r="O8" s="71" t="s">
        <v>91</v>
      </c>
      <c r="P8" s="71" t="s">
        <v>91</v>
      </c>
      <c r="Q8" s="71" t="s">
        <v>91</v>
      </c>
      <c r="R8" s="71" t="s">
        <v>91</v>
      </c>
      <c r="S8" s="71" t="s">
        <v>91</v>
      </c>
      <c r="T8" s="166">
        <v>35000.0</v>
      </c>
      <c r="U8" s="244">
        <f t="shared" ref="U8:U9" si="6">0*T8</f>
        <v>0</v>
      </c>
      <c r="V8" s="84" t="s">
        <v>450</v>
      </c>
      <c r="W8" s="71" t="s">
        <v>91</v>
      </c>
      <c r="X8" s="71"/>
      <c r="Y8" s="85">
        <v>0.0</v>
      </c>
      <c r="Z8" s="86" t="s">
        <v>91</v>
      </c>
      <c r="AA8" s="85">
        <v>100000.0</v>
      </c>
      <c r="AB8" s="250" t="s">
        <v>780</v>
      </c>
      <c r="AC8" s="253" t="s">
        <v>781</v>
      </c>
    </row>
    <row r="9">
      <c r="A9" s="242">
        <v>7.0</v>
      </c>
      <c r="B9" s="164">
        <v>45952.0</v>
      </c>
      <c r="C9" s="164">
        <v>45955.0</v>
      </c>
      <c r="D9" s="165" t="s">
        <v>366</v>
      </c>
      <c r="E9" s="165" t="s">
        <v>368</v>
      </c>
      <c r="F9" s="149">
        <v>164989.4</v>
      </c>
      <c r="G9" s="103"/>
      <c r="H9" s="103">
        <v>31.67</v>
      </c>
      <c r="I9" s="96">
        <f t="shared" si="1"/>
        <v>5225214.298</v>
      </c>
      <c r="J9" s="96">
        <f t="shared" si="2"/>
        <v>52252.14298</v>
      </c>
      <c r="K9" s="96"/>
      <c r="L9" s="96"/>
      <c r="M9" s="95">
        <f>ROUND(IF(H9&gt;31,31,H9)*51.8117352%*F9,-3)</f>
        <v>2650000</v>
      </c>
      <c r="N9" s="95">
        <f t="shared" si="3"/>
        <v>2372962.155</v>
      </c>
      <c r="O9" s="71" t="s">
        <v>91</v>
      </c>
      <c r="P9" s="71" t="s">
        <v>91</v>
      </c>
      <c r="Q9" s="71" t="s">
        <v>91</v>
      </c>
      <c r="R9" s="71" t="s">
        <v>91</v>
      </c>
      <c r="S9" s="71" t="s">
        <v>91</v>
      </c>
      <c r="T9" s="166">
        <v>50000.0</v>
      </c>
      <c r="U9" s="244">
        <f t="shared" si="6"/>
        <v>0</v>
      </c>
      <c r="V9" s="84" t="s">
        <v>450</v>
      </c>
      <c r="W9" s="71" t="s">
        <v>91</v>
      </c>
      <c r="X9" s="71"/>
      <c r="Y9" s="166">
        <v>50000.0</v>
      </c>
      <c r="Z9" s="136" t="s">
        <v>792</v>
      </c>
      <c r="AA9" s="85">
        <v>100000.0</v>
      </c>
      <c r="AB9" s="250" t="s">
        <v>795</v>
      </c>
      <c r="AC9" s="269" t="s">
        <v>797</v>
      </c>
      <c r="AD9" s="270"/>
      <c r="AE9" s="272"/>
    </row>
    <row r="10">
      <c r="A10" s="242">
        <v>8.0</v>
      </c>
      <c r="B10" s="164">
        <v>45957.0</v>
      </c>
      <c r="C10" s="164">
        <v>45958.0</v>
      </c>
      <c r="D10" s="165" t="s">
        <v>89</v>
      </c>
      <c r="E10" s="165" t="s">
        <v>530</v>
      </c>
      <c r="F10" s="86">
        <v>190080.0</v>
      </c>
      <c r="G10" s="103"/>
      <c r="H10" s="103">
        <v>33.38</v>
      </c>
      <c r="I10" s="96">
        <f t="shared" si="1"/>
        <v>6344870.4</v>
      </c>
      <c r="J10" s="96">
        <f t="shared" si="2"/>
        <v>63448.704</v>
      </c>
      <c r="K10" s="96"/>
      <c r="L10" s="96"/>
      <c r="M10" s="95">
        <f>ROUND(IF(H10&gt;31,31,H10)*47.5182%*F10,-3)</f>
        <v>2800000</v>
      </c>
      <c r="N10" s="95">
        <f t="shared" si="3"/>
        <v>3281421.696</v>
      </c>
      <c r="O10" s="71" t="s">
        <v>91</v>
      </c>
      <c r="P10" s="71" t="s">
        <v>91</v>
      </c>
      <c r="Q10" s="71" t="s">
        <v>91</v>
      </c>
      <c r="R10" s="71" t="s">
        <v>91</v>
      </c>
      <c r="S10" s="71" t="s">
        <v>91</v>
      </c>
      <c r="T10" s="166">
        <v>50000.0</v>
      </c>
      <c r="U10" s="244">
        <f>2*T10</f>
        <v>100000</v>
      </c>
      <c r="V10" s="84" t="s">
        <v>450</v>
      </c>
      <c r="W10" s="71" t="s">
        <v>91</v>
      </c>
      <c r="X10" s="71"/>
      <c r="Y10" s="85">
        <v>0.0</v>
      </c>
      <c r="Z10" s="86" t="s">
        <v>91</v>
      </c>
      <c r="AA10" s="85">
        <v>100000.0</v>
      </c>
      <c r="AB10" s="250" t="s">
        <v>805</v>
      </c>
      <c r="AC10" s="276" t="s">
        <v>807</v>
      </c>
    </row>
    <row r="11">
      <c r="A11" s="242">
        <v>9.0</v>
      </c>
      <c r="B11" s="164">
        <v>45959.0</v>
      </c>
      <c r="C11" s="164">
        <v>45960.0</v>
      </c>
      <c r="D11" s="165" t="s">
        <v>764</v>
      </c>
      <c r="E11" s="165" t="s">
        <v>765</v>
      </c>
      <c r="F11" s="149">
        <v>110246.4</v>
      </c>
      <c r="G11" s="218"/>
      <c r="H11" s="218">
        <v>29.26</v>
      </c>
      <c r="I11" s="96">
        <f t="shared" si="1"/>
        <v>3225809.664</v>
      </c>
      <c r="J11" s="96">
        <f t="shared" si="2"/>
        <v>32258.09664</v>
      </c>
      <c r="K11" s="96"/>
      <c r="L11" s="96"/>
      <c r="M11" s="95">
        <f>ROUND(IF(H11&gt;31,31,H11)*54.235%*F11,-3)</f>
        <v>1750000</v>
      </c>
      <c r="N11" s="95">
        <f t="shared" si="3"/>
        <v>1343551.567</v>
      </c>
      <c r="O11" s="71" t="s">
        <v>91</v>
      </c>
      <c r="P11" s="71" t="s">
        <v>91</v>
      </c>
      <c r="Q11" s="71" t="s">
        <v>91</v>
      </c>
      <c r="R11" s="71" t="s">
        <v>91</v>
      </c>
      <c r="S11" s="71" t="s">
        <v>91</v>
      </c>
      <c r="T11" s="166">
        <v>50000.0</v>
      </c>
      <c r="U11" s="244">
        <f t="shared" ref="U11:U13" si="7">0*T11</f>
        <v>0</v>
      </c>
      <c r="V11" s="84" t="s">
        <v>450</v>
      </c>
      <c r="W11" s="71" t="s">
        <v>91</v>
      </c>
      <c r="X11" s="71"/>
      <c r="Y11" s="85">
        <v>0.0</v>
      </c>
      <c r="Z11" s="86" t="s">
        <v>91</v>
      </c>
      <c r="AA11" s="85">
        <v>100000.0</v>
      </c>
      <c r="AB11" s="250" t="s">
        <v>816</v>
      </c>
      <c r="AC11" s="253" t="s">
        <v>819</v>
      </c>
    </row>
    <row r="12">
      <c r="A12" s="242">
        <v>10.0</v>
      </c>
      <c r="B12" s="164">
        <v>45961.0</v>
      </c>
      <c r="C12" s="164">
        <v>45962.0</v>
      </c>
      <c r="D12" s="243" t="s">
        <v>54</v>
      </c>
      <c r="E12" s="165" t="s">
        <v>565</v>
      </c>
      <c r="F12" s="86">
        <v>116554.0</v>
      </c>
      <c r="G12" s="218"/>
      <c r="H12" s="218">
        <v>30.83</v>
      </c>
      <c r="I12" s="96">
        <f t="shared" si="1"/>
        <v>3593359.82</v>
      </c>
      <c r="J12" s="96">
        <f t="shared" si="2"/>
        <v>35933.5982</v>
      </c>
      <c r="K12" s="96"/>
      <c r="L12" s="96"/>
      <c r="M12" s="95">
        <f>ROUND(IF(H12&gt;31,31,H12)*52.87%*F12,-3)</f>
        <v>1900000</v>
      </c>
      <c r="N12" s="95">
        <f t="shared" si="3"/>
        <v>1557426.222</v>
      </c>
      <c r="O12" s="71" t="s">
        <v>91</v>
      </c>
      <c r="P12" s="71" t="s">
        <v>91</v>
      </c>
      <c r="Q12" s="71" t="s">
        <v>91</v>
      </c>
      <c r="R12" s="71" t="s">
        <v>91</v>
      </c>
      <c r="S12" s="71" t="s">
        <v>91</v>
      </c>
      <c r="T12" s="166">
        <v>35000.0</v>
      </c>
      <c r="U12" s="244">
        <f t="shared" si="7"/>
        <v>0</v>
      </c>
      <c r="V12" s="84" t="s">
        <v>450</v>
      </c>
      <c r="W12" s="71" t="s">
        <v>91</v>
      </c>
      <c r="X12" s="71"/>
      <c r="Y12" s="85">
        <v>0.0</v>
      </c>
      <c r="Z12" s="86" t="s">
        <v>91</v>
      </c>
      <c r="AA12" s="85">
        <v>100000.0</v>
      </c>
      <c r="AB12" s="250" t="s">
        <v>831</v>
      </c>
      <c r="AC12" s="276" t="s">
        <v>834</v>
      </c>
    </row>
    <row r="13">
      <c r="A13" s="242">
        <v>11.0</v>
      </c>
      <c r="B13" s="164">
        <v>45964.0</v>
      </c>
      <c r="C13" s="164">
        <v>45966.0</v>
      </c>
      <c r="D13" s="243" t="s">
        <v>54</v>
      </c>
      <c r="E13" s="165" t="s">
        <v>565</v>
      </c>
      <c r="F13" s="86">
        <v>116554.0</v>
      </c>
      <c r="G13" s="103"/>
      <c r="H13" s="103">
        <v>31.37</v>
      </c>
      <c r="I13" s="96">
        <f t="shared" si="1"/>
        <v>3656298.98</v>
      </c>
      <c r="J13" s="96">
        <f t="shared" si="2"/>
        <v>36562.9898</v>
      </c>
      <c r="K13" s="96"/>
      <c r="L13" s="96"/>
      <c r="M13" s="95">
        <f>ROUND(IF(H13&gt;31,31,H13)*52.58552%*F13,-3)</f>
        <v>1900000</v>
      </c>
      <c r="N13" s="95">
        <f t="shared" si="3"/>
        <v>1619735.99</v>
      </c>
      <c r="O13" s="71" t="s">
        <v>91</v>
      </c>
      <c r="P13" s="71" t="s">
        <v>91</v>
      </c>
      <c r="Q13" s="71" t="s">
        <v>91</v>
      </c>
      <c r="R13" s="71" t="s">
        <v>91</v>
      </c>
      <c r="S13" s="71" t="s">
        <v>91</v>
      </c>
      <c r="T13" s="166">
        <v>35000.0</v>
      </c>
      <c r="U13" s="244">
        <f t="shared" si="7"/>
        <v>0</v>
      </c>
      <c r="V13" s="84" t="s">
        <v>450</v>
      </c>
      <c r="W13" s="71" t="s">
        <v>91</v>
      </c>
      <c r="X13" s="71"/>
      <c r="Y13" s="85">
        <v>0.0</v>
      </c>
      <c r="Z13" s="86" t="s">
        <v>91</v>
      </c>
      <c r="AA13" s="85">
        <v>100000.0</v>
      </c>
      <c r="AB13" s="250" t="s">
        <v>856</v>
      </c>
      <c r="AC13" s="276" t="s">
        <v>857</v>
      </c>
    </row>
    <row r="14">
      <c r="A14" s="242">
        <v>12.0</v>
      </c>
      <c r="B14" s="164">
        <v>45967.0</v>
      </c>
      <c r="C14" s="164">
        <v>45968.0</v>
      </c>
      <c r="D14" s="165" t="s">
        <v>89</v>
      </c>
      <c r="E14" s="165" t="s">
        <v>530</v>
      </c>
      <c r="F14" s="86">
        <v>190080.0</v>
      </c>
      <c r="G14" s="218"/>
      <c r="H14" s="218">
        <v>29.09</v>
      </c>
      <c r="I14" s="96">
        <f t="shared" si="1"/>
        <v>5529427.2</v>
      </c>
      <c r="J14" s="96">
        <f t="shared" si="2"/>
        <v>55294.272</v>
      </c>
      <c r="K14" s="96"/>
      <c r="L14" s="96"/>
      <c r="M14" s="95">
        <f>ROUND(IF(H14&gt;31,31,H14)*50.63%*F14,-3)</f>
        <v>2800000</v>
      </c>
      <c r="N14" s="95">
        <f t="shared" si="3"/>
        <v>2624132.928</v>
      </c>
      <c r="O14" s="71" t="s">
        <v>91</v>
      </c>
      <c r="P14" s="71" t="s">
        <v>91</v>
      </c>
      <c r="Q14" s="71" t="s">
        <v>91</v>
      </c>
      <c r="R14" s="71" t="s">
        <v>91</v>
      </c>
      <c r="S14" s="71" t="s">
        <v>91</v>
      </c>
      <c r="T14" s="166">
        <v>50000.0</v>
      </c>
      <c r="U14" s="284">
        <f>-1*T14</f>
        <v>-50000</v>
      </c>
      <c r="V14" s="84" t="s">
        <v>450</v>
      </c>
      <c r="W14" s="71" t="s">
        <v>91</v>
      </c>
      <c r="X14" s="71"/>
      <c r="Y14" s="85">
        <v>0.0</v>
      </c>
      <c r="Z14" s="86" t="s">
        <v>91</v>
      </c>
      <c r="AA14" s="85">
        <v>100000.0</v>
      </c>
      <c r="AB14" s="250" t="s">
        <v>871</v>
      </c>
      <c r="AC14" s="215" t="s">
        <v>875</v>
      </c>
    </row>
    <row r="15">
      <c r="A15" s="242">
        <v>13.0</v>
      </c>
      <c r="B15" s="164">
        <v>45970.0</v>
      </c>
      <c r="C15" s="164">
        <v>45971.0</v>
      </c>
      <c r="D15" s="165" t="s">
        <v>89</v>
      </c>
      <c r="E15" s="165" t="s">
        <v>530</v>
      </c>
      <c r="F15" s="86">
        <v>190080.0</v>
      </c>
      <c r="G15" s="103"/>
      <c r="H15" s="103">
        <v>31.24</v>
      </c>
      <c r="I15" s="96">
        <f t="shared" si="1"/>
        <v>5938099.2</v>
      </c>
      <c r="J15" s="96">
        <f t="shared" si="2"/>
        <v>59380.992</v>
      </c>
      <c r="K15" s="96"/>
      <c r="L15" s="96"/>
      <c r="M15" s="95">
        <f t="shared" ref="M15:M17" si="8">ROUND(IF(H15&gt;31,31,H15)*47.5182%*F15,-3)</f>
        <v>2800000</v>
      </c>
      <c r="N15" s="95">
        <f t="shared" si="3"/>
        <v>2978718.208</v>
      </c>
      <c r="O15" s="71" t="s">
        <v>91</v>
      </c>
      <c r="P15" s="71" t="s">
        <v>91</v>
      </c>
      <c r="Q15" s="71" t="s">
        <v>91</v>
      </c>
      <c r="R15" s="71" t="s">
        <v>91</v>
      </c>
      <c r="S15" s="71" t="s">
        <v>91</v>
      </c>
      <c r="T15" s="166">
        <v>50000.0</v>
      </c>
      <c r="U15" s="244">
        <f>0*T15</f>
        <v>0</v>
      </c>
      <c r="V15" s="84" t="s">
        <v>450</v>
      </c>
      <c r="W15" s="71" t="s">
        <v>91</v>
      </c>
      <c r="X15" s="71"/>
      <c r="Y15" s="85">
        <v>0.0</v>
      </c>
      <c r="Z15" s="86" t="s">
        <v>91</v>
      </c>
      <c r="AA15" s="85">
        <v>100000.0</v>
      </c>
      <c r="AB15" s="250" t="s">
        <v>892</v>
      </c>
      <c r="AC15" s="215" t="s">
        <v>893</v>
      </c>
    </row>
    <row r="16">
      <c r="A16" s="242">
        <v>14.0</v>
      </c>
      <c r="B16" s="164">
        <v>45972.0</v>
      </c>
      <c r="C16" s="164">
        <v>45974.0</v>
      </c>
      <c r="D16" s="165" t="s">
        <v>89</v>
      </c>
      <c r="E16" s="165" t="s">
        <v>530</v>
      </c>
      <c r="F16" s="86">
        <v>190080.0</v>
      </c>
      <c r="G16" s="103"/>
      <c r="H16" s="103">
        <v>33.65</v>
      </c>
      <c r="I16" s="96">
        <f t="shared" si="1"/>
        <v>6396192</v>
      </c>
      <c r="J16" s="96">
        <f t="shared" si="2"/>
        <v>63961.92</v>
      </c>
      <c r="K16" s="96"/>
      <c r="L16" s="96"/>
      <c r="M16" s="95">
        <f t="shared" si="8"/>
        <v>2800000</v>
      </c>
      <c r="N16" s="95">
        <f t="shared" si="3"/>
        <v>3332230.08</v>
      </c>
      <c r="O16" s="71" t="s">
        <v>91</v>
      </c>
      <c r="P16" s="71" t="s">
        <v>91</v>
      </c>
      <c r="Q16" s="71" t="s">
        <v>91</v>
      </c>
      <c r="R16" s="71" t="s">
        <v>91</v>
      </c>
      <c r="S16" s="71" t="s">
        <v>91</v>
      </c>
      <c r="T16" s="166">
        <v>50000.0</v>
      </c>
      <c r="U16" s="244">
        <f>2*T16</f>
        <v>100000</v>
      </c>
      <c r="V16" s="84" t="s">
        <v>450</v>
      </c>
      <c r="W16" s="71" t="s">
        <v>91</v>
      </c>
      <c r="X16" s="71"/>
      <c r="Y16" s="85">
        <v>0.0</v>
      </c>
      <c r="Z16" s="86" t="s">
        <v>91</v>
      </c>
      <c r="AA16" s="85">
        <v>100000.0</v>
      </c>
      <c r="AB16" s="250" t="s">
        <v>916</v>
      </c>
      <c r="AC16" s="215" t="s">
        <v>919</v>
      </c>
    </row>
    <row r="17">
      <c r="A17" s="242">
        <v>15.0</v>
      </c>
      <c r="B17" s="164">
        <v>45976.0</v>
      </c>
      <c r="C17" s="164">
        <v>45978.0</v>
      </c>
      <c r="D17" s="165" t="s">
        <v>89</v>
      </c>
      <c r="E17" s="165" t="s">
        <v>530</v>
      </c>
      <c r="F17" s="86">
        <v>190080.0</v>
      </c>
      <c r="G17" s="103"/>
      <c r="H17" s="103">
        <v>31.29</v>
      </c>
      <c r="I17" s="96">
        <f t="shared" si="1"/>
        <v>5947603.2</v>
      </c>
      <c r="J17" s="96">
        <f t="shared" si="2"/>
        <v>59476.032</v>
      </c>
      <c r="K17" s="96"/>
      <c r="L17" s="96"/>
      <c r="M17" s="95">
        <f t="shared" si="8"/>
        <v>2800000</v>
      </c>
      <c r="N17" s="95">
        <f t="shared" si="3"/>
        <v>2938127.168</v>
      </c>
      <c r="O17" s="71" t="s">
        <v>91</v>
      </c>
      <c r="P17" s="71" t="s">
        <v>91</v>
      </c>
      <c r="Q17" s="71" t="s">
        <v>91</v>
      </c>
      <c r="R17" s="71" t="s">
        <v>91</v>
      </c>
      <c r="S17" s="71" t="s">
        <v>91</v>
      </c>
      <c r="T17" s="166">
        <v>50000.0</v>
      </c>
      <c r="U17" s="244">
        <f>0*T17</f>
        <v>0</v>
      </c>
      <c r="V17" s="84" t="s">
        <v>450</v>
      </c>
      <c r="W17" s="71" t="s">
        <v>91</v>
      </c>
      <c r="X17" s="71"/>
      <c r="Y17" s="85">
        <v>50000.0</v>
      </c>
      <c r="Z17" s="136" t="s">
        <v>934</v>
      </c>
      <c r="AA17" s="85">
        <v>100000.0</v>
      </c>
      <c r="AB17" s="250" t="s">
        <v>936</v>
      </c>
      <c r="AC17" s="260" t="s">
        <v>938</v>
      </c>
    </row>
    <row r="18">
      <c r="A18" s="242">
        <v>16.0</v>
      </c>
      <c r="B18" s="164">
        <v>45976.0</v>
      </c>
      <c r="C18" s="164">
        <v>45976.0</v>
      </c>
      <c r="D18" s="165" t="s">
        <v>213</v>
      </c>
      <c r="E18" s="165" t="s">
        <v>710</v>
      </c>
      <c r="F18" s="86">
        <v>101477.0</v>
      </c>
      <c r="G18" s="103"/>
      <c r="H18" s="103">
        <v>31.86</v>
      </c>
      <c r="I18" s="96">
        <f t="shared" si="1"/>
        <v>3233057.22</v>
      </c>
      <c r="J18" s="96">
        <f t="shared" si="2"/>
        <v>32330.5722</v>
      </c>
      <c r="K18" s="96"/>
      <c r="L18" s="96"/>
      <c r="M18" s="95">
        <f>ROUND(IF(H18&gt;31,31,H18)*54.040622%*F18,-3)</f>
        <v>1700000</v>
      </c>
      <c r="N18" s="95">
        <f t="shared" si="3"/>
        <v>1370726.648</v>
      </c>
      <c r="O18" s="71" t="s">
        <v>91</v>
      </c>
      <c r="P18" s="71" t="s">
        <v>91</v>
      </c>
      <c r="Q18" s="71" t="s">
        <v>91</v>
      </c>
      <c r="R18" s="71" t="s">
        <v>91</v>
      </c>
      <c r="S18" s="71" t="s">
        <v>91</v>
      </c>
      <c r="T18" s="166">
        <v>30000.0</v>
      </c>
      <c r="U18" s="244">
        <f>1*T18</f>
        <v>30000</v>
      </c>
      <c r="V18" s="84" t="s">
        <v>450</v>
      </c>
      <c r="W18" s="71" t="s">
        <v>91</v>
      </c>
      <c r="X18" s="71"/>
      <c r="Y18" s="85">
        <v>0.0</v>
      </c>
      <c r="Z18" s="86" t="s">
        <v>91</v>
      </c>
      <c r="AA18" s="85">
        <v>100000.0</v>
      </c>
      <c r="AB18" s="136" t="s">
        <v>957</v>
      </c>
      <c r="AC18" s="215"/>
      <c r="AD18" s="270"/>
      <c r="AE18" s="292"/>
    </row>
    <row r="19">
      <c r="A19" s="242">
        <v>17.0</v>
      </c>
      <c r="B19" s="164">
        <v>45983.0</v>
      </c>
      <c r="C19" s="164">
        <v>45984.0</v>
      </c>
      <c r="D19" s="243" t="s">
        <v>54</v>
      </c>
      <c r="E19" s="165" t="s">
        <v>565</v>
      </c>
      <c r="F19" s="86">
        <v>116554.0</v>
      </c>
      <c r="G19" s="103"/>
      <c r="H19" s="103">
        <v>32.95</v>
      </c>
      <c r="I19" s="96">
        <f t="shared" si="1"/>
        <v>3840454.3</v>
      </c>
      <c r="J19" s="96">
        <f t="shared" si="2"/>
        <v>38404.543</v>
      </c>
      <c r="K19" s="96"/>
      <c r="L19" s="96"/>
      <c r="M19" s="95">
        <f>ROUND(IF(H19&gt;31,31,H19)*52.58552%*F19,-3)</f>
        <v>1900000</v>
      </c>
      <c r="N19" s="95">
        <f t="shared" si="3"/>
        <v>1732049.757</v>
      </c>
      <c r="O19" s="71" t="s">
        <v>91</v>
      </c>
      <c r="P19" s="71" t="s">
        <v>91</v>
      </c>
      <c r="Q19" s="71" t="s">
        <v>91</v>
      </c>
      <c r="R19" s="71" t="s">
        <v>91</v>
      </c>
      <c r="S19" s="71" t="s">
        <v>91</v>
      </c>
      <c r="T19" s="166">
        <v>35000.0</v>
      </c>
      <c r="U19" s="244">
        <f>2*T19</f>
        <v>70000</v>
      </c>
      <c r="V19" s="84" t="s">
        <v>450</v>
      </c>
      <c r="W19" s="71" t="s">
        <v>91</v>
      </c>
      <c r="X19" s="71"/>
      <c r="Y19" s="85">
        <v>0.0</v>
      </c>
      <c r="Z19" s="86" t="s">
        <v>91</v>
      </c>
      <c r="AA19" s="85">
        <v>100000.0</v>
      </c>
      <c r="AB19" s="136" t="s">
        <v>977</v>
      </c>
      <c r="AC19" s="276" t="s">
        <v>978</v>
      </c>
    </row>
    <row r="20">
      <c r="A20" s="242">
        <v>18.0</v>
      </c>
      <c r="B20" s="164">
        <v>45985.0</v>
      </c>
      <c r="C20" s="164">
        <v>45990.0</v>
      </c>
      <c r="D20" s="165" t="s">
        <v>89</v>
      </c>
      <c r="E20" s="165" t="s">
        <v>397</v>
      </c>
      <c r="F20" s="86">
        <v>190080.0</v>
      </c>
      <c r="G20" s="103"/>
      <c r="H20" s="103">
        <v>31.43</v>
      </c>
      <c r="I20" s="96">
        <f t="shared" si="1"/>
        <v>5974214.4</v>
      </c>
      <c r="J20" s="96">
        <f t="shared" si="2"/>
        <v>59742.144</v>
      </c>
      <c r="K20" s="96"/>
      <c r="L20" s="96"/>
      <c r="M20" s="95">
        <f>ROUND(IF(H20&gt;31,31,H20)*47.5182%*F20,-3)</f>
        <v>2800000</v>
      </c>
      <c r="N20" s="95">
        <f t="shared" si="3"/>
        <v>2864472.256</v>
      </c>
      <c r="O20" s="71" t="s">
        <v>91</v>
      </c>
      <c r="P20" s="71" t="s">
        <v>91</v>
      </c>
      <c r="Q20" s="71" t="s">
        <v>91</v>
      </c>
      <c r="R20" s="71" t="s">
        <v>91</v>
      </c>
      <c r="S20" s="71" t="s">
        <v>91</v>
      </c>
      <c r="T20" s="166">
        <v>50000.0</v>
      </c>
      <c r="U20" s="244">
        <f t="shared" ref="U20:U21" si="9">0*T20</f>
        <v>0</v>
      </c>
      <c r="V20" s="84" t="s">
        <v>450</v>
      </c>
      <c r="W20" s="71" t="s">
        <v>91</v>
      </c>
      <c r="X20" s="71"/>
      <c r="Y20" s="85">
        <v>150000.0</v>
      </c>
      <c r="Z20" s="136" t="s">
        <v>989</v>
      </c>
      <c r="AA20" s="85">
        <v>100000.0</v>
      </c>
      <c r="AB20" s="136" t="s">
        <v>990</v>
      </c>
      <c r="AC20" s="294" t="s">
        <v>992</v>
      </c>
      <c r="AD20" s="270"/>
      <c r="AE20" s="292"/>
    </row>
    <row r="21">
      <c r="A21" s="242">
        <v>19.0</v>
      </c>
      <c r="B21" s="164">
        <v>45993.0</v>
      </c>
      <c r="C21" s="164">
        <v>45994.0</v>
      </c>
      <c r="D21" s="165" t="s">
        <v>89</v>
      </c>
      <c r="E21" s="165" t="s">
        <v>397</v>
      </c>
      <c r="F21" s="86">
        <v>190080.0</v>
      </c>
      <c r="G21" s="218"/>
      <c r="H21" s="218">
        <v>30.11</v>
      </c>
      <c r="I21" s="96">
        <f t="shared" si="1"/>
        <v>5723308.8</v>
      </c>
      <c r="J21" s="96">
        <f t="shared" si="2"/>
        <v>57233.088</v>
      </c>
      <c r="K21" s="96"/>
      <c r="L21" s="96"/>
      <c r="M21" s="95">
        <f>ROUND(IF(H21&gt;31,31,H21)*48.93%*F21,-3)</f>
        <v>2800000</v>
      </c>
      <c r="N21" s="95">
        <f t="shared" si="3"/>
        <v>2766075.712</v>
      </c>
      <c r="O21" s="71" t="s">
        <v>91</v>
      </c>
      <c r="P21" s="71" t="s">
        <v>91</v>
      </c>
      <c r="Q21" s="71" t="s">
        <v>91</v>
      </c>
      <c r="R21" s="71" t="s">
        <v>91</v>
      </c>
      <c r="S21" s="71" t="s">
        <v>91</v>
      </c>
      <c r="T21" s="166">
        <v>50000.0</v>
      </c>
      <c r="U21" s="244">
        <f t="shared" si="9"/>
        <v>0</v>
      </c>
      <c r="V21" s="84" t="s">
        <v>450</v>
      </c>
      <c r="W21" s="71" t="s">
        <v>91</v>
      </c>
      <c r="X21" s="71"/>
      <c r="Y21" s="85">
        <v>0.0</v>
      </c>
      <c r="Z21" s="86" t="s">
        <v>91</v>
      </c>
      <c r="AA21" s="85">
        <v>100000.0</v>
      </c>
      <c r="AB21" s="136" t="s">
        <v>1012</v>
      </c>
      <c r="AC21" s="294" t="s">
        <v>1013</v>
      </c>
      <c r="AD21" s="270"/>
      <c r="AE21" s="292"/>
    </row>
    <row r="22">
      <c r="A22" s="242">
        <v>20.0</v>
      </c>
      <c r="B22" s="164">
        <v>45996.0</v>
      </c>
      <c r="C22" s="164">
        <v>45997.0</v>
      </c>
      <c r="D22" s="243" t="s">
        <v>54</v>
      </c>
      <c r="E22" s="243" t="s">
        <v>77</v>
      </c>
      <c r="F22" s="86">
        <v>116554.0</v>
      </c>
      <c r="G22" s="103"/>
      <c r="H22" s="103">
        <v>35.06</v>
      </c>
      <c r="I22" s="96">
        <f t="shared" si="1"/>
        <v>4086383.24</v>
      </c>
      <c r="J22" s="96">
        <f t="shared" si="2"/>
        <v>40863.8324</v>
      </c>
      <c r="K22" s="96"/>
      <c r="L22" s="96"/>
      <c r="M22" s="95">
        <f>ROUND(IF(H22&gt;31,31,H22)*52.58552%*F22,-3)</f>
        <v>1900000</v>
      </c>
      <c r="N22" s="95">
        <f t="shared" si="3"/>
        <v>1905519.408</v>
      </c>
      <c r="O22" s="71" t="s">
        <v>91</v>
      </c>
      <c r="P22" s="71" t="s">
        <v>91</v>
      </c>
      <c r="Q22" s="71" t="s">
        <v>91</v>
      </c>
      <c r="R22" s="71" t="s">
        <v>91</v>
      </c>
      <c r="S22" s="71" t="s">
        <v>91</v>
      </c>
      <c r="T22" s="166">
        <v>35000.0</v>
      </c>
      <c r="U22" s="244">
        <f>4*T22</f>
        <v>140000</v>
      </c>
      <c r="V22" s="84" t="s">
        <v>450</v>
      </c>
      <c r="W22" s="71" t="s">
        <v>91</v>
      </c>
      <c r="X22" s="71"/>
      <c r="Y22" s="85">
        <v>0.0</v>
      </c>
      <c r="Z22" s="86" t="s">
        <v>91</v>
      </c>
      <c r="AA22" s="85">
        <v>100000.0</v>
      </c>
      <c r="AB22" s="136" t="s">
        <v>1033</v>
      </c>
      <c r="AC22" s="215"/>
      <c r="AD22" s="270"/>
      <c r="AE22" s="270"/>
    </row>
    <row r="23">
      <c r="A23" s="242">
        <v>21.0</v>
      </c>
      <c r="B23" s="164">
        <v>45998.0</v>
      </c>
      <c r="C23" s="164">
        <v>45999.0</v>
      </c>
      <c r="D23" s="165" t="s">
        <v>764</v>
      </c>
      <c r="E23" s="165" t="s">
        <v>765</v>
      </c>
      <c r="F23" s="149">
        <v>110246.4</v>
      </c>
      <c r="G23" s="103"/>
      <c r="H23" s="103">
        <v>35.86</v>
      </c>
      <c r="I23" s="96">
        <f t="shared" si="1"/>
        <v>3953435.904</v>
      </c>
      <c r="J23" s="96">
        <f t="shared" si="2"/>
        <v>39534.35904</v>
      </c>
      <c r="K23" s="96"/>
      <c r="L23" s="96"/>
      <c r="M23" s="95">
        <f>ROUND(IF(H23&gt;31,31,H23)*52.6679475%*F23,-3)</f>
        <v>1800000</v>
      </c>
      <c r="N23" s="95">
        <f t="shared" si="3"/>
        <v>1763901.545</v>
      </c>
      <c r="O23" s="71" t="s">
        <v>91</v>
      </c>
      <c r="P23" s="71" t="s">
        <v>91</v>
      </c>
      <c r="Q23" s="71" t="s">
        <v>91</v>
      </c>
      <c r="R23" s="71" t="s">
        <v>91</v>
      </c>
      <c r="S23" s="71" t="s">
        <v>91</v>
      </c>
      <c r="T23" s="166">
        <v>50000.0</v>
      </c>
      <c r="U23" s="244">
        <f>5*T23</f>
        <v>250000</v>
      </c>
      <c r="V23" s="84" t="s">
        <v>450</v>
      </c>
      <c r="W23" s="71" t="s">
        <v>91</v>
      </c>
      <c r="X23" s="71"/>
      <c r="Y23" s="85">
        <v>0.0</v>
      </c>
      <c r="Z23" s="86" t="s">
        <v>91</v>
      </c>
      <c r="AA23" s="85">
        <v>100000.0</v>
      </c>
      <c r="AB23" s="136" t="s">
        <v>1046</v>
      </c>
      <c r="AC23" s="253" t="s">
        <v>1047</v>
      </c>
    </row>
    <row r="24">
      <c r="A24" s="242">
        <v>22.0</v>
      </c>
      <c r="B24" s="164">
        <v>46000.0</v>
      </c>
      <c r="C24" s="164">
        <v>46002.0</v>
      </c>
      <c r="D24" s="243" t="s">
        <v>54</v>
      </c>
      <c r="E24" s="165" t="s">
        <v>565</v>
      </c>
      <c r="F24" s="86">
        <v>116554.0</v>
      </c>
      <c r="G24" s="103"/>
      <c r="H24" s="103">
        <v>33.33</v>
      </c>
      <c r="I24" s="96">
        <f t="shared" si="1"/>
        <v>3884744.82</v>
      </c>
      <c r="J24" s="96">
        <f t="shared" si="2"/>
        <v>38847.4482</v>
      </c>
      <c r="K24" s="96"/>
      <c r="L24" s="96"/>
      <c r="M24" s="95">
        <f>ROUND(IF(H24&gt;31,31,H24)*52.58552%*F24,-3)</f>
        <v>1900000</v>
      </c>
      <c r="N24" s="95">
        <f t="shared" si="3"/>
        <v>1725897.372</v>
      </c>
      <c r="O24" s="71" t="s">
        <v>91</v>
      </c>
      <c r="P24" s="71" t="s">
        <v>91</v>
      </c>
      <c r="Q24" s="71" t="s">
        <v>91</v>
      </c>
      <c r="R24" s="71" t="s">
        <v>91</v>
      </c>
      <c r="S24" s="71" t="s">
        <v>91</v>
      </c>
      <c r="T24" s="166">
        <v>35000.0</v>
      </c>
      <c r="U24" s="244">
        <f>2*T24</f>
        <v>70000</v>
      </c>
      <c r="V24" s="84" t="s">
        <v>450</v>
      </c>
      <c r="W24" s="71" t="s">
        <v>91</v>
      </c>
      <c r="X24" s="71"/>
      <c r="Y24" s="85">
        <v>50000.0</v>
      </c>
      <c r="Z24" s="136" t="s">
        <v>1059</v>
      </c>
      <c r="AA24" s="85">
        <v>100000.0</v>
      </c>
      <c r="AB24" s="136" t="s">
        <v>1060</v>
      </c>
      <c r="AC24" s="253" t="s">
        <v>1061</v>
      </c>
    </row>
    <row r="25">
      <c r="A25" s="242">
        <v>23.0</v>
      </c>
      <c r="B25" s="164">
        <v>46004.0</v>
      </c>
      <c r="C25" s="164">
        <v>46005.0</v>
      </c>
      <c r="D25" s="165" t="s">
        <v>764</v>
      </c>
      <c r="E25" s="165" t="s">
        <v>765</v>
      </c>
      <c r="F25" s="149">
        <v>110246.4</v>
      </c>
      <c r="G25" s="218"/>
      <c r="H25" s="218">
        <v>32.56</v>
      </c>
      <c r="I25" s="96">
        <f t="shared" si="1"/>
        <v>3589622.784</v>
      </c>
      <c r="J25" s="96">
        <f t="shared" si="2"/>
        <v>35896.22784</v>
      </c>
      <c r="K25" s="96"/>
      <c r="L25" s="96"/>
      <c r="M25" s="298">
        <f t="shared" ref="M25:M26" si="10">ROUND(IF(H25&gt;31,31,H25)*52.6679475%*F25,-3)</f>
        <v>1800000</v>
      </c>
      <c r="N25" s="95">
        <f t="shared" si="3"/>
        <v>1703726.556</v>
      </c>
      <c r="O25" s="71" t="s">
        <v>91</v>
      </c>
      <c r="P25" s="71" t="s">
        <v>91</v>
      </c>
      <c r="Q25" s="71" t="s">
        <v>91</v>
      </c>
      <c r="R25" s="71" t="s">
        <v>91</v>
      </c>
      <c r="S25" s="71" t="s">
        <v>91</v>
      </c>
      <c r="T25" s="166">
        <v>50000.0</v>
      </c>
      <c r="U25" s="284">
        <f>-1*T25</f>
        <v>-50000</v>
      </c>
      <c r="V25" s="84" t="s">
        <v>450</v>
      </c>
      <c r="W25" s="71" t="s">
        <v>91</v>
      </c>
      <c r="X25" s="71"/>
      <c r="Y25" s="85">
        <v>0.0</v>
      </c>
      <c r="Z25" s="86" t="s">
        <v>91</v>
      </c>
      <c r="AA25" s="85">
        <v>100000.0</v>
      </c>
      <c r="AB25" s="136" t="s">
        <v>1075</v>
      </c>
      <c r="AC25" s="253" t="s">
        <v>1076</v>
      </c>
    </row>
    <row r="26">
      <c r="A26" s="242">
        <v>24.0</v>
      </c>
      <c r="B26" s="164">
        <v>46005.0</v>
      </c>
      <c r="C26" s="164">
        <v>46007.0</v>
      </c>
      <c r="D26" s="165" t="s">
        <v>764</v>
      </c>
      <c r="E26" s="165" t="s">
        <v>765</v>
      </c>
      <c r="F26" s="149">
        <v>110246.4</v>
      </c>
      <c r="G26" s="103"/>
      <c r="H26" s="103">
        <v>33.2</v>
      </c>
      <c r="I26" s="96">
        <f t="shared" si="1"/>
        <v>3660180.48</v>
      </c>
      <c r="J26" s="96">
        <f t="shared" si="2"/>
        <v>36601.8048</v>
      </c>
      <c r="K26" s="96"/>
      <c r="L26" s="96"/>
      <c r="M26" s="95">
        <f t="shared" si="10"/>
        <v>1800000</v>
      </c>
      <c r="N26" s="95">
        <f t="shared" si="3"/>
        <v>1573578.675</v>
      </c>
      <c r="O26" s="71" t="s">
        <v>91</v>
      </c>
      <c r="P26" s="71" t="s">
        <v>91</v>
      </c>
      <c r="Q26" s="71" t="s">
        <v>91</v>
      </c>
      <c r="R26" s="71" t="s">
        <v>91</v>
      </c>
      <c r="S26" s="71" t="s">
        <v>91</v>
      </c>
      <c r="T26" s="166">
        <v>50000.0</v>
      </c>
      <c r="U26" s="244">
        <f>2*T26</f>
        <v>100000</v>
      </c>
      <c r="V26" s="84" t="s">
        <v>450</v>
      </c>
      <c r="W26" s="71" t="s">
        <v>91</v>
      </c>
      <c r="X26" s="71"/>
      <c r="Y26" s="85">
        <v>50000.0</v>
      </c>
      <c r="Z26" s="136" t="s">
        <v>1082</v>
      </c>
      <c r="AA26" s="85">
        <v>100000.0</v>
      </c>
      <c r="AB26" s="136" t="s">
        <v>1084</v>
      </c>
      <c r="AC26" s="253" t="s">
        <v>1085</v>
      </c>
    </row>
    <row r="27">
      <c r="A27" s="242">
        <v>25.0</v>
      </c>
      <c r="B27" s="164">
        <v>46011.0</v>
      </c>
      <c r="C27" s="164">
        <v>46012.0</v>
      </c>
      <c r="D27" s="243" t="s">
        <v>54</v>
      </c>
      <c r="E27" s="165" t="s">
        <v>565</v>
      </c>
      <c r="F27" s="86">
        <v>116554.0</v>
      </c>
      <c r="G27" s="103"/>
      <c r="H27" s="103">
        <v>32.16</v>
      </c>
      <c r="I27" s="96">
        <f t="shared" si="1"/>
        <v>3748376.64</v>
      </c>
      <c r="J27" s="96">
        <f t="shared" si="2"/>
        <v>37483.7664</v>
      </c>
      <c r="K27" s="96"/>
      <c r="L27" s="96"/>
      <c r="M27" s="95">
        <f>ROUND(IF(H27&gt;31,31,H27)*52.58552%*F27,-3)</f>
        <v>1900000</v>
      </c>
      <c r="N27" s="95">
        <f t="shared" si="3"/>
        <v>1675892.874</v>
      </c>
      <c r="O27" s="71" t="s">
        <v>91</v>
      </c>
      <c r="P27" s="71" t="s">
        <v>91</v>
      </c>
      <c r="Q27" s="71" t="s">
        <v>91</v>
      </c>
      <c r="R27" s="71" t="s">
        <v>91</v>
      </c>
      <c r="S27" s="71" t="s">
        <v>91</v>
      </c>
      <c r="T27" s="166">
        <v>35000.0</v>
      </c>
      <c r="U27" s="244">
        <f>1*T27</f>
        <v>35000</v>
      </c>
      <c r="V27" s="84" t="s">
        <v>450</v>
      </c>
      <c r="W27" s="71" t="s">
        <v>91</v>
      </c>
      <c r="X27" s="71"/>
      <c r="Y27" s="85">
        <v>0.0</v>
      </c>
      <c r="Z27" s="86" t="s">
        <v>91</v>
      </c>
      <c r="AA27" s="85">
        <v>100000.0</v>
      </c>
      <c r="AB27" s="136" t="s">
        <v>1096</v>
      </c>
      <c r="AC27" s="253" t="s">
        <v>1097</v>
      </c>
    </row>
    <row r="28">
      <c r="A28" s="242">
        <v>26.0</v>
      </c>
      <c r="B28" s="164">
        <v>46013.0</v>
      </c>
      <c r="C28" s="164">
        <v>46014.0</v>
      </c>
      <c r="D28" s="165" t="s">
        <v>764</v>
      </c>
      <c r="E28" s="165" t="s">
        <v>765</v>
      </c>
      <c r="F28" s="149">
        <v>110246.4</v>
      </c>
      <c r="G28" s="218"/>
      <c r="H28" s="218">
        <v>30.7</v>
      </c>
      <c r="I28" s="96">
        <f t="shared" si="1"/>
        <v>3384564.48</v>
      </c>
      <c r="J28" s="96">
        <f t="shared" si="2"/>
        <v>33845.6448</v>
      </c>
      <c r="K28" s="96"/>
      <c r="L28" s="96"/>
      <c r="M28" s="298">
        <f>ROUND(IF(H28&gt;31,31,H28)*51.7%*F28,-3)</f>
        <v>1750000</v>
      </c>
      <c r="N28" s="95">
        <f t="shared" si="3"/>
        <v>1500718.835</v>
      </c>
      <c r="O28" s="71" t="s">
        <v>91</v>
      </c>
      <c r="P28" s="71" t="s">
        <v>91</v>
      </c>
      <c r="Q28" s="71" t="s">
        <v>91</v>
      </c>
      <c r="R28" s="71" t="s">
        <v>91</v>
      </c>
      <c r="S28" s="71" t="s">
        <v>91</v>
      </c>
      <c r="T28" s="166">
        <v>50000.0</v>
      </c>
      <c r="U28" s="244">
        <f>0*T28</f>
        <v>0</v>
      </c>
      <c r="V28" s="84" t="s">
        <v>450</v>
      </c>
      <c r="W28" s="85">
        <v>50000.0</v>
      </c>
      <c r="X28" s="84" t="s">
        <v>450</v>
      </c>
      <c r="Y28" s="85">
        <v>0.0</v>
      </c>
      <c r="Z28" s="86" t="s">
        <v>91</v>
      </c>
      <c r="AA28" s="85">
        <v>100000.0</v>
      </c>
      <c r="AB28" s="250" t="s">
        <v>1100</v>
      </c>
      <c r="AC28" s="305"/>
    </row>
    <row r="29">
      <c r="A29" s="242">
        <v>27.0</v>
      </c>
      <c r="B29" s="164">
        <v>46017.0</v>
      </c>
      <c r="C29" s="164">
        <v>46018.0</v>
      </c>
      <c r="D29" s="243" t="s">
        <v>54</v>
      </c>
      <c r="E29" s="165" t="s">
        <v>565</v>
      </c>
      <c r="F29" s="86">
        <v>116554.0</v>
      </c>
      <c r="G29" s="103"/>
      <c r="H29" s="103">
        <v>32.01</v>
      </c>
      <c r="I29" s="96">
        <f t="shared" si="1"/>
        <v>3730893.54</v>
      </c>
      <c r="J29" s="96">
        <f t="shared" si="2"/>
        <v>37308.9354</v>
      </c>
      <c r="K29" s="96"/>
      <c r="L29" s="96"/>
      <c r="M29" s="95">
        <f>ROUND(IF(H29&gt;31,31,H29)*52.58552%*F29,-3)</f>
        <v>1900000</v>
      </c>
      <c r="N29" s="95">
        <f t="shared" si="3"/>
        <v>1658584.605</v>
      </c>
      <c r="O29" s="71" t="s">
        <v>91</v>
      </c>
      <c r="P29" s="71" t="s">
        <v>91</v>
      </c>
      <c r="Q29" s="71" t="s">
        <v>91</v>
      </c>
      <c r="R29" s="71" t="s">
        <v>91</v>
      </c>
      <c r="S29" s="71" t="s">
        <v>91</v>
      </c>
      <c r="T29" s="166">
        <v>35000.0</v>
      </c>
      <c r="U29" s="244">
        <f>1*T29</f>
        <v>35000</v>
      </c>
      <c r="V29" s="84" t="s">
        <v>450</v>
      </c>
      <c r="W29" s="85">
        <v>50000.0</v>
      </c>
      <c r="X29" s="84" t="s">
        <v>450</v>
      </c>
      <c r="Y29" s="85">
        <v>0.0</v>
      </c>
      <c r="Z29" s="86" t="s">
        <v>91</v>
      </c>
      <c r="AA29" s="85">
        <v>100000.0</v>
      </c>
      <c r="AB29" s="250" t="s">
        <v>1109</v>
      </c>
      <c r="AC29" s="253" t="s">
        <v>1111</v>
      </c>
    </row>
    <row r="30">
      <c r="A30" s="242">
        <v>28.0</v>
      </c>
      <c r="B30" s="164">
        <v>46019.0</v>
      </c>
      <c r="C30" s="164">
        <v>46021.0</v>
      </c>
      <c r="D30" s="165" t="s">
        <v>764</v>
      </c>
      <c r="E30" s="165" t="s">
        <v>765</v>
      </c>
      <c r="F30" s="149">
        <v>110246.4</v>
      </c>
      <c r="G30" s="103"/>
      <c r="H30" s="103">
        <v>33.4</v>
      </c>
      <c r="I30" s="96">
        <f t="shared" si="1"/>
        <v>3682229.76</v>
      </c>
      <c r="J30" s="96">
        <f t="shared" si="2"/>
        <v>36822.2976</v>
      </c>
      <c r="K30" s="96"/>
      <c r="L30" s="96"/>
      <c r="M30" s="95">
        <f>ROUND(IF(H30&gt;31,31,H30)*52.6679475%*F30,-3)</f>
        <v>1800000</v>
      </c>
      <c r="N30" s="95">
        <f t="shared" si="3"/>
        <v>1595407.462</v>
      </c>
      <c r="O30" s="71" t="s">
        <v>91</v>
      </c>
      <c r="P30" s="71" t="s">
        <v>91</v>
      </c>
      <c r="Q30" s="71" t="s">
        <v>91</v>
      </c>
      <c r="R30" s="71" t="s">
        <v>91</v>
      </c>
      <c r="S30" s="71" t="s">
        <v>91</v>
      </c>
      <c r="T30" s="166">
        <v>50000.0</v>
      </c>
      <c r="U30" s="244">
        <f>2*T30</f>
        <v>100000</v>
      </c>
      <c r="V30" s="84" t="s">
        <v>450</v>
      </c>
      <c r="W30" s="85">
        <v>50000.0</v>
      </c>
      <c r="X30" s="84" t="s">
        <v>450</v>
      </c>
      <c r="Y30" s="85">
        <v>50000.0</v>
      </c>
      <c r="Z30" s="136" t="s">
        <v>1119</v>
      </c>
      <c r="AA30" s="85">
        <v>100000.0</v>
      </c>
      <c r="AB30" s="250" t="s">
        <v>1120</v>
      </c>
      <c r="AC30" s="253" t="s">
        <v>1121</v>
      </c>
    </row>
    <row r="31">
      <c r="A31" s="242">
        <v>29.0</v>
      </c>
      <c r="B31" s="164">
        <v>46024.0</v>
      </c>
      <c r="C31" s="164">
        <v>46025.0</v>
      </c>
      <c r="D31" s="243" t="s">
        <v>54</v>
      </c>
      <c r="E31" s="165" t="s">
        <v>565</v>
      </c>
      <c r="F31" s="86">
        <v>116554.0</v>
      </c>
      <c r="G31" s="103">
        <v>31.4</v>
      </c>
      <c r="H31" s="103">
        <v>31.32</v>
      </c>
      <c r="I31" s="96">
        <f t="shared" si="1"/>
        <v>3650471.28</v>
      </c>
      <c r="J31" s="96">
        <f t="shared" si="2"/>
        <v>36504.7128</v>
      </c>
      <c r="K31" s="96"/>
      <c r="L31" s="96"/>
      <c r="M31" s="95">
        <f t="shared" ref="M31:M32" si="11">ROUND(IF(H31&gt;31,31,H31)*52.58552%*F31,-3)</f>
        <v>1900000</v>
      </c>
      <c r="N31" s="95">
        <f t="shared" ref="N31:N72" si="12">I31-M31-R31-U31-J31-Y31-AA31</f>
        <v>1613966.567</v>
      </c>
      <c r="O31" s="95">
        <f t="shared" ref="O31:O83" si="13">0.3%*G31</f>
        <v>0.0942</v>
      </c>
      <c r="P31" s="95">
        <f t="shared" ref="P31:P83" si="14">G31-H31</f>
        <v>0.08</v>
      </c>
      <c r="Q31" s="95">
        <f t="shared" ref="Q31:Q83" si="15">IF(P31&gt;O31,(1000000*(P31-O31)),0)</f>
        <v>0</v>
      </c>
      <c r="R31" s="95">
        <f t="shared" ref="R31:R83" si="16">Q31/2</f>
        <v>0</v>
      </c>
      <c r="S31" s="71" t="s">
        <v>91</v>
      </c>
      <c r="T31" s="166">
        <v>35000.0</v>
      </c>
      <c r="U31" s="244">
        <f>0*T31</f>
        <v>0</v>
      </c>
      <c r="V31" s="84" t="s">
        <v>450</v>
      </c>
      <c r="W31" s="85">
        <v>50000.0</v>
      </c>
      <c r="X31" s="84" t="s">
        <v>450</v>
      </c>
      <c r="Y31" s="85">
        <v>0.0</v>
      </c>
      <c r="Z31" s="86" t="s">
        <v>91</v>
      </c>
      <c r="AA31" s="85">
        <v>100000.0</v>
      </c>
      <c r="AB31" s="250" t="s">
        <v>1133</v>
      </c>
      <c r="AC31" s="253" t="s">
        <v>1134</v>
      </c>
    </row>
    <row r="32">
      <c r="A32" s="242">
        <v>30.0</v>
      </c>
      <c r="B32" s="164">
        <v>46028.0</v>
      </c>
      <c r="C32" s="164">
        <v>46030.0</v>
      </c>
      <c r="D32" s="243" t="s">
        <v>54</v>
      </c>
      <c r="E32" s="165" t="s">
        <v>565</v>
      </c>
      <c r="F32" s="86">
        <v>116554.0</v>
      </c>
      <c r="G32" s="103">
        <v>32.62</v>
      </c>
      <c r="H32" s="103">
        <v>32.53</v>
      </c>
      <c r="I32" s="96">
        <f t="shared" si="1"/>
        <v>3791501.62</v>
      </c>
      <c r="J32" s="96">
        <f t="shared" si="2"/>
        <v>37915.0162</v>
      </c>
      <c r="K32" s="96"/>
      <c r="L32" s="96"/>
      <c r="M32" s="95">
        <f t="shared" si="11"/>
        <v>1900000</v>
      </c>
      <c r="N32" s="95">
        <f t="shared" si="12"/>
        <v>1718586.604</v>
      </c>
      <c r="O32" s="95">
        <f t="shared" si="13"/>
        <v>0.09786</v>
      </c>
      <c r="P32" s="95">
        <f t="shared" si="14"/>
        <v>0.09</v>
      </c>
      <c r="Q32" s="95">
        <f t="shared" si="15"/>
        <v>0</v>
      </c>
      <c r="R32" s="95">
        <f t="shared" si="16"/>
        <v>0</v>
      </c>
      <c r="S32" s="71" t="s">
        <v>91</v>
      </c>
      <c r="T32" s="166">
        <v>35000.0</v>
      </c>
      <c r="U32" s="244">
        <f>1*T32</f>
        <v>35000</v>
      </c>
      <c r="V32" s="84" t="s">
        <v>450</v>
      </c>
      <c r="W32" s="85">
        <v>50000.0</v>
      </c>
      <c r="X32" s="84" t="s">
        <v>450</v>
      </c>
      <c r="Y32" s="85">
        <v>0.0</v>
      </c>
      <c r="Z32" s="86" t="s">
        <v>91</v>
      </c>
      <c r="AA32" s="85">
        <v>100000.0</v>
      </c>
      <c r="AB32" s="250" t="s">
        <v>1142</v>
      </c>
      <c r="AC32" s="253" t="s">
        <v>1143</v>
      </c>
    </row>
    <row r="33">
      <c r="A33" s="242">
        <v>31.0</v>
      </c>
      <c r="B33" s="164">
        <v>46032.0</v>
      </c>
      <c r="C33" s="164">
        <v>46035.0</v>
      </c>
      <c r="D33" s="165" t="s">
        <v>89</v>
      </c>
      <c r="E33" s="165" t="s">
        <v>397</v>
      </c>
      <c r="F33" s="86">
        <v>190080.0</v>
      </c>
      <c r="G33" s="218">
        <v>30.02</v>
      </c>
      <c r="H33" s="218">
        <v>29.93</v>
      </c>
      <c r="I33" s="96">
        <f t="shared" si="1"/>
        <v>5689094.4</v>
      </c>
      <c r="J33" s="96">
        <f t="shared" si="2"/>
        <v>56890.944</v>
      </c>
      <c r="K33" s="96"/>
      <c r="L33" s="96"/>
      <c r="M33" s="95">
        <f>ROUND(IF(H33&gt;31,31,H33)*49.21%*F33,-3)</f>
        <v>2800000</v>
      </c>
      <c r="N33" s="95">
        <f t="shared" si="12"/>
        <v>2632203.456</v>
      </c>
      <c r="O33" s="95">
        <f t="shared" si="13"/>
        <v>0.09006</v>
      </c>
      <c r="P33" s="95">
        <f t="shared" si="14"/>
        <v>0.09</v>
      </c>
      <c r="Q33" s="95">
        <f t="shared" si="15"/>
        <v>0</v>
      </c>
      <c r="R33" s="95">
        <f t="shared" si="16"/>
        <v>0</v>
      </c>
      <c r="S33" s="71" t="s">
        <v>91</v>
      </c>
      <c r="T33" s="166">
        <v>50000.0</v>
      </c>
      <c r="U33" s="244">
        <f>0*T33</f>
        <v>0</v>
      </c>
      <c r="V33" s="84" t="s">
        <v>450</v>
      </c>
      <c r="W33" s="85">
        <v>50000.0</v>
      </c>
      <c r="X33" s="84" t="s">
        <v>450</v>
      </c>
      <c r="Y33" s="85">
        <v>100000.0</v>
      </c>
      <c r="Z33" s="313" t="s">
        <v>1154</v>
      </c>
      <c r="AA33" s="85">
        <v>100000.0</v>
      </c>
      <c r="AB33" s="136" t="s">
        <v>1157</v>
      </c>
      <c r="AC33" s="294" t="s">
        <v>1159</v>
      </c>
    </row>
    <row r="34">
      <c r="A34" s="242" t="s">
        <v>1161</v>
      </c>
      <c r="B34" s="164">
        <v>46036.0</v>
      </c>
      <c r="C34" s="164">
        <v>46037.0</v>
      </c>
      <c r="D34" s="165" t="s">
        <v>89</v>
      </c>
      <c r="E34" s="165" t="s">
        <v>530</v>
      </c>
      <c r="F34" s="86">
        <v>190080.0</v>
      </c>
      <c r="G34" s="218">
        <v>28.04</v>
      </c>
      <c r="H34" s="258">
        <v>28.17</v>
      </c>
      <c r="I34" s="96">
        <f t="shared" si="1"/>
        <v>5354553.6</v>
      </c>
      <c r="J34" s="96">
        <f t="shared" si="2"/>
        <v>53545.536</v>
      </c>
      <c r="K34" s="96"/>
      <c r="L34" s="96"/>
      <c r="M34" s="298">
        <f>ROUND(IF(H34&gt;31,31,H34)*52.3%*F34,-3)</f>
        <v>2800000</v>
      </c>
      <c r="N34" s="95">
        <f t="shared" si="12"/>
        <v>2451008.064</v>
      </c>
      <c r="O34" s="95">
        <f t="shared" si="13"/>
        <v>0.08412</v>
      </c>
      <c r="P34" s="314">
        <f t="shared" si="14"/>
        <v>-0.13</v>
      </c>
      <c r="Q34" s="95">
        <f t="shared" si="15"/>
        <v>0</v>
      </c>
      <c r="R34" s="95">
        <f t="shared" si="16"/>
        <v>0</v>
      </c>
      <c r="S34" s="71" t="s">
        <v>91</v>
      </c>
      <c r="T34" s="166">
        <v>50000.0</v>
      </c>
      <c r="U34" s="284">
        <f>-1*T34</f>
        <v>-50000</v>
      </c>
      <c r="V34" s="84" t="s">
        <v>450</v>
      </c>
      <c r="W34" s="85">
        <v>50000.0</v>
      </c>
      <c r="X34" s="84" t="s">
        <v>450</v>
      </c>
      <c r="Y34" s="85">
        <v>0.0</v>
      </c>
      <c r="Z34" s="86" t="s">
        <v>91</v>
      </c>
      <c r="AA34" s="85">
        <v>100000.0</v>
      </c>
      <c r="AB34" s="136" t="s">
        <v>1170</v>
      </c>
      <c r="AC34" s="260" t="s">
        <v>1171</v>
      </c>
    </row>
    <row r="35">
      <c r="A35" s="242">
        <v>33.0</v>
      </c>
      <c r="B35" s="164">
        <v>46039.0</v>
      </c>
      <c r="C35" s="164">
        <v>46040.0</v>
      </c>
      <c r="D35" s="165" t="s">
        <v>764</v>
      </c>
      <c r="E35" s="165" t="s">
        <v>765</v>
      </c>
      <c r="F35" s="149">
        <v>110246.4</v>
      </c>
      <c r="G35" s="103">
        <v>32.88</v>
      </c>
      <c r="H35" s="103">
        <v>32.8</v>
      </c>
      <c r="I35" s="96">
        <f t="shared" si="1"/>
        <v>3616081.92</v>
      </c>
      <c r="J35" s="96">
        <f t="shared" si="2"/>
        <v>36160.8192</v>
      </c>
      <c r="K35" s="96"/>
      <c r="L35" s="96"/>
      <c r="M35" s="95">
        <f>ROUND(IF(H35&gt;31,31,H35)*52.6679475%*F35,-3)</f>
        <v>1800000</v>
      </c>
      <c r="N35" s="95">
        <f t="shared" si="12"/>
        <v>1629921.101</v>
      </c>
      <c r="O35" s="95">
        <f t="shared" si="13"/>
        <v>0.09864</v>
      </c>
      <c r="P35" s="95">
        <f t="shared" si="14"/>
        <v>0.08</v>
      </c>
      <c r="Q35" s="95">
        <f t="shared" si="15"/>
        <v>0</v>
      </c>
      <c r="R35" s="95">
        <f t="shared" si="16"/>
        <v>0</v>
      </c>
      <c r="S35" s="71" t="s">
        <v>91</v>
      </c>
      <c r="T35" s="166">
        <v>50000.0</v>
      </c>
      <c r="U35" s="244">
        <f t="shared" ref="U35:U36" si="17">1*T35</f>
        <v>50000</v>
      </c>
      <c r="V35" s="84" t="s">
        <v>450</v>
      </c>
      <c r="W35" s="85" t="s">
        <v>1176</v>
      </c>
      <c r="X35" s="84" t="s">
        <v>450</v>
      </c>
      <c r="Y35" s="85">
        <v>0.0</v>
      </c>
      <c r="Z35" s="86" t="s">
        <v>91</v>
      </c>
      <c r="AA35" s="85">
        <v>100000.0</v>
      </c>
      <c r="AB35" s="136" t="s">
        <v>1177</v>
      </c>
      <c r="AC35" s="253" t="s">
        <v>1178</v>
      </c>
    </row>
    <row r="36">
      <c r="A36" s="242">
        <v>34.0</v>
      </c>
      <c r="B36" s="164">
        <v>46043.0</v>
      </c>
      <c r="C36" s="164">
        <v>46045.0</v>
      </c>
      <c r="D36" s="243" t="s">
        <v>54</v>
      </c>
      <c r="E36" s="243" t="s">
        <v>77</v>
      </c>
      <c r="F36" s="86">
        <v>116554.0</v>
      </c>
      <c r="G36" s="103">
        <v>32.36</v>
      </c>
      <c r="H36" s="103">
        <v>32.36</v>
      </c>
      <c r="I36" s="96">
        <f t="shared" si="1"/>
        <v>3771687.44</v>
      </c>
      <c r="J36" s="96">
        <f t="shared" si="2"/>
        <v>37716.8744</v>
      </c>
      <c r="K36" s="96"/>
      <c r="L36" s="96"/>
      <c r="M36" s="95">
        <f>ROUND(IF(H36&gt;31,31,H36)*52.58552%*F36,-3)</f>
        <v>1900000</v>
      </c>
      <c r="N36" s="95">
        <f t="shared" si="12"/>
        <v>1698970.566</v>
      </c>
      <c r="O36" s="95">
        <f t="shared" si="13"/>
        <v>0.09708</v>
      </c>
      <c r="P36" s="95">
        <f t="shared" si="14"/>
        <v>0</v>
      </c>
      <c r="Q36" s="95">
        <f t="shared" si="15"/>
        <v>0</v>
      </c>
      <c r="R36" s="95">
        <f t="shared" si="16"/>
        <v>0</v>
      </c>
      <c r="S36" s="71" t="s">
        <v>91</v>
      </c>
      <c r="T36" s="166">
        <v>35000.0</v>
      </c>
      <c r="U36" s="244">
        <f t="shared" si="17"/>
        <v>35000</v>
      </c>
      <c r="V36" s="84" t="s">
        <v>450</v>
      </c>
      <c r="W36" s="85">
        <v>50000.0</v>
      </c>
      <c r="X36" s="84" t="s">
        <v>450</v>
      </c>
      <c r="Y36" s="85">
        <v>0.0</v>
      </c>
      <c r="Z36" s="86" t="s">
        <v>91</v>
      </c>
      <c r="AA36" s="85">
        <v>100000.0</v>
      </c>
      <c r="AB36" s="136" t="s">
        <v>1189</v>
      </c>
      <c r="AC36" s="215"/>
      <c r="AD36" s="270"/>
      <c r="AE36" s="270"/>
    </row>
    <row r="37">
      <c r="A37" s="242">
        <v>35.0</v>
      </c>
      <c r="B37" s="164">
        <v>46050.0</v>
      </c>
      <c r="C37" s="164">
        <v>46051.0</v>
      </c>
      <c r="D37" s="165" t="s">
        <v>1190</v>
      </c>
      <c r="E37" s="165" t="s">
        <v>565</v>
      </c>
      <c r="F37" s="149">
        <v>120890.9</v>
      </c>
      <c r="G37" s="103">
        <v>31.42</v>
      </c>
      <c r="H37" s="103">
        <v>31.3</v>
      </c>
      <c r="I37" s="96">
        <f t="shared" si="1"/>
        <v>3783885.17</v>
      </c>
      <c r="J37" s="96">
        <f t="shared" si="2"/>
        <v>37838.8517</v>
      </c>
      <c r="K37" s="96"/>
      <c r="L37" s="96"/>
      <c r="M37" s="95">
        <f t="shared" ref="M37:M38" si="18">ROUND(IF(H37&gt;31,31,H37)*50.686%*F37,-3)</f>
        <v>1900000</v>
      </c>
      <c r="N37" s="95">
        <f t="shared" si="12"/>
        <v>1733176.318</v>
      </c>
      <c r="O37" s="95">
        <f t="shared" si="13"/>
        <v>0.09426</v>
      </c>
      <c r="P37" s="95">
        <f t="shared" si="14"/>
        <v>0.12</v>
      </c>
      <c r="Q37" s="308">
        <f t="shared" si="15"/>
        <v>25740</v>
      </c>
      <c r="R37" s="308">
        <f t="shared" si="16"/>
        <v>12870</v>
      </c>
      <c r="S37" s="71" t="s">
        <v>1196</v>
      </c>
      <c r="T37" s="166">
        <v>35000.0</v>
      </c>
      <c r="U37" s="244">
        <f>0*T37</f>
        <v>0</v>
      </c>
      <c r="V37" s="84" t="s">
        <v>450</v>
      </c>
      <c r="W37" s="85">
        <v>50000.0</v>
      </c>
      <c r="X37" s="84" t="s">
        <v>450</v>
      </c>
      <c r="Y37" s="85">
        <v>0.0</v>
      </c>
      <c r="Z37" s="86" t="s">
        <v>91</v>
      </c>
      <c r="AA37" s="85">
        <v>100000.0</v>
      </c>
      <c r="AB37" s="136" t="s">
        <v>1201</v>
      </c>
      <c r="AC37" s="253" t="s">
        <v>1202</v>
      </c>
    </row>
    <row r="38">
      <c r="A38" s="242">
        <v>36.0</v>
      </c>
      <c r="B38" s="164">
        <v>46052.0</v>
      </c>
      <c r="C38" s="164">
        <v>46054.0</v>
      </c>
      <c r="D38" s="165" t="s">
        <v>1190</v>
      </c>
      <c r="E38" s="165" t="s">
        <v>565</v>
      </c>
      <c r="F38" s="149">
        <v>120890.9</v>
      </c>
      <c r="G38" s="103">
        <v>32.64</v>
      </c>
      <c r="H38" s="103">
        <v>32.64</v>
      </c>
      <c r="I38" s="96">
        <f t="shared" si="1"/>
        <v>3945878.976</v>
      </c>
      <c r="J38" s="96">
        <f t="shared" si="2"/>
        <v>39458.78976</v>
      </c>
      <c r="K38" s="96"/>
      <c r="L38" s="96"/>
      <c r="M38" s="95">
        <f t="shared" si="18"/>
        <v>1900000</v>
      </c>
      <c r="N38" s="95">
        <f t="shared" si="12"/>
        <v>1821420.186</v>
      </c>
      <c r="O38" s="95">
        <f t="shared" si="13"/>
        <v>0.09792</v>
      </c>
      <c r="P38" s="95">
        <f t="shared" si="14"/>
        <v>0</v>
      </c>
      <c r="Q38" s="95">
        <f t="shared" si="15"/>
        <v>0</v>
      </c>
      <c r="R38" s="95">
        <f t="shared" si="16"/>
        <v>0</v>
      </c>
      <c r="S38" s="71" t="s">
        <v>91</v>
      </c>
      <c r="T38" s="166">
        <v>35000.0</v>
      </c>
      <c r="U38" s="244">
        <f>1*T38</f>
        <v>35000</v>
      </c>
      <c r="V38" s="84" t="s">
        <v>450</v>
      </c>
      <c r="W38" s="85">
        <v>50000.0</v>
      </c>
      <c r="X38" s="84" t="s">
        <v>450</v>
      </c>
      <c r="Y38" s="85">
        <v>50000.0</v>
      </c>
      <c r="Z38" s="313" t="s">
        <v>1212</v>
      </c>
      <c r="AA38" s="85">
        <v>100000.0</v>
      </c>
      <c r="AB38" s="136" t="s">
        <v>1215</v>
      </c>
      <c r="AC38" s="215"/>
    </row>
    <row r="39">
      <c r="A39" s="242">
        <v>37.0</v>
      </c>
      <c r="B39" s="164">
        <v>46057.0</v>
      </c>
      <c r="C39" s="164">
        <v>46058.0</v>
      </c>
      <c r="D39" s="165" t="s">
        <v>89</v>
      </c>
      <c r="E39" s="165" t="s">
        <v>530</v>
      </c>
      <c r="F39" s="86">
        <v>190080.0</v>
      </c>
      <c r="G39" s="218">
        <v>27.42</v>
      </c>
      <c r="H39" s="218">
        <v>27.32</v>
      </c>
      <c r="I39" s="96">
        <f t="shared" si="1"/>
        <v>5192985.6</v>
      </c>
      <c r="J39" s="96">
        <f t="shared" si="2"/>
        <v>51929.856</v>
      </c>
      <c r="K39" s="96"/>
      <c r="L39" s="96"/>
      <c r="M39" s="298">
        <f>ROUND(IF(H39&gt;31,31,H39)*51.984%*F39,-3)</f>
        <v>2700000</v>
      </c>
      <c r="N39" s="95">
        <f t="shared" si="12"/>
        <v>2332185.744</v>
      </c>
      <c r="O39" s="95">
        <f t="shared" si="13"/>
        <v>0.08226</v>
      </c>
      <c r="P39" s="95">
        <f t="shared" si="14"/>
        <v>0.1</v>
      </c>
      <c r="Q39" s="308">
        <f t="shared" si="15"/>
        <v>17740</v>
      </c>
      <c r="R39" s="308">
        <f t="shared" si="16"/>
        <v>8870</v>
      </c>
      <c r="S39" s="71" t="s">
        <v>1196</v>
      </c>
      <c r="T39" s="166">
        <v>50000.0</v>
      </c>
      <c r="U39" s="244">
        <f>0*T39</f>
        <v>0</v>
      </c>
      <c r="V39" s="84" t="s">
        <v>450</v>
      </c>
      <c r="W39" s="85">
        <v>50000.0</v>
      </c>
      <c r="X39" s="84" t="s">
        <v>450</v>
      </c>
      <c r="Y39" s="85">
        <v>0.0</v>
      </c>
      <c r="Z39" s="86" t="s">
        <v>91</v>
      </c>
      <c r="AA39" s="85">
        <v>100000.0</v>
      </c>
      <c r="AB39" s="136" t="s">
        <v>1222</v>
      </c>
      <c r="AC39" s="294" t="s">
        <v>1223</v>
      </c>
    </row>
    <row r="40">
      <c r="A40" s="242">
        <v>38.0</v>
      </c>
      <c r="B40" s="164">
        <v>46060.0</v>
      </c>
      <c r="C40" s="164">
        <v>46061.0</v>
      </c>
      <c r="D40" s="243" t="s">
        <v>54</v>
      </c>
      <c r="E40" s="243" t="s">
        <v>77</v>
      </c>
      <c r="F40" s="86">
        <v>116554.0</v>
      </c>
      <c r="G40" s="103">
        <v>34.52</v>
      </c>
      <c r="H40" s="103">
        <v>34.52</v>
      </c>
      <c r="I40" s="96">
        <f t="shared" si="1"/>
        <v>4023444.08</v>
      </c>
      <c r="J40" s="96">
        <f t="shared" si="2"/>
        <v>40234.4408</v>
      </c>
      <c r="K40" s="96"/>
      <c r="L40" s="96"/>
      <c r="M40" s="95">
        <f t="shared" ref="M40:M41" si="19">ROUND(IF(H40&gt;31,31,H40)*52.58552%*F40,-3)</f>
        <v>1900000</v>
      </c>
      <c r="N40" s="95">
        <f t="shared" si="12"/>
        <v>1878209.639</v>
      </c>
      <c r="O40" s="95">
        <f t="shared" si="13"/>
        <v>0.10356</v>
      </c>
      <c r="P40" s="95">
        <f t="shared" si="14"/>
        <v>0</v>
      </c>
      <c r="Q40" s="95">
        <f t="shared" si="15"/>
        <v>0</v>
      </c>
      <c r="R40" s="95">
        <f t="shared" si="16"/>
        <v>0</v>
      </c>
      <c r="S40" s="71" t="s">
        <v>91</v>
      </c>
      <c r="T40" s="166">
        <v>35000.0</v>
      </c>
      <c r="U40" s="244">
        <f t="shared" ref="U40:U42" si="20">3*T40</f>
        <v>105000</v>
      </c>
      <c r="V40" s="84" t="s">
        <v>450</v>
      </c>
      <c r="W40" s="85" t="s">
        <v>1232</v>
      </c>
      <c r="X40" s="84" t="s">
        <v>450</v>
      </c>
      <c r="Y40" s="85">
        <v>0.0</v>
      </c>
      <c r="Z40" s="86" t="s">
        <v>91</v>
      </c>
      <c r="AA40" s="85">
        <v>100000.0</v>
      </c>
      <c r="AB40" s="136" t="s">
        <v>1235</v>
      </c>
      <c r="AC40" s="215"/>
      <c r="AD40" s="270"/>
      <c r="AE40" s="270"/>
    </row>
    <row r="41">
      <c r="A41" s="242">
        <v>39.0</v>
      </c>
      <c r="B41" s="164">
        <v>46062.0</v>
      </c>
      <c r="C41" s="164">
        <v>46063.0</v>
      </c>
      <c r="D41" s="243" t="s">
        <v>54</v>
      </c>
      <c r="E41" s="243" t="s">
        <v>77</v>
      </c>
      <c r="F41" s="86">
        <v>116554.0</v>
      </c>
      <c r="G41" s="103">
        <v>34.04</v>
      </c>
      <c r="H41" s="103">
        <v>34.04</v>
      </c>
      <c r="I41" s="96">
        <f t="shared" si="1"/>
        <v>3967498.16</v>
      </c>
      <c r="J41" s="96">
        <f t="shared" si="2"/>
        <v>39674.9816</v>
      </c>
      <c r="K41" s="96"/>
      <c r="L41" s="96"/>
      <c r="M41" s="95">
        <f t="shared" si="19"/>
        <v>1900000</v>
      </c>
      <c r="N41" s="95">
        <f t="shared" si="12"/>
        <v>1822823.178</v>
      </c>
      <c r="O41" s="95">
        <f t="shared" si="13"/>
        <v>0.10212</v>
      </c>
      <c r="P41" s="95">
        <f t="shared" si="14"/>
        <v>0</v>
      </c>
      <c r="Q41" s="95">
        <f t="shared" si="15"/>
        <v>0</v>
      </c>
      <c r="R41" s="95">
        <f t="shared" si="16"/>
        <v>0</v>
      </c>
      <c r="S41" s="71" t="s">
        <v>91</v>
      </c>
      <c r="T41" s="166">
        <v>35000.0</v>
      </c>
      <c r="U41" s="244">
        <f t="shared" si="20"/>
        <v>105000</v>
      </c>
      <c r="V41" s="84" t="s">
        <v>450</v>
      </c>
      <c r="W41" s="85" t="s">
        <v>1232</v>
      </c>
      <c r="X41" s="84" t="s">
        <v>450</v>
      </c>
      <c r="Y41" s="85">
        <v>0.0</v>
      </c>
      <c r="Z41" s="86" t="s">
        <v>91</v>
      </c>
      <c r="AA41" s="85">
        <v>100000.0</v>
      </c>
      <c r="AB41" s="136" t="s">
        <v>1243</v>
      </c>
      <c r="AC41" s="215"/>
      <c r="AD41" s="270"/>
      <c r="AE41" s="270"/>
    </row>
    <row r="42">
      <c r="A42" s="242">
        <v>40.0</v>
      </c>
      <c r="B42" s="164">
        <v>46065.0</v>
      </c>
      <c r="C42" s="164">
        <v>46066.0</v>
      </c>
      <c r="D42" s="243" t="s">
        <v>54</v>
      </c>
      <c r="E42" s="165" t="s">
        <v>565</v>
      </c>
      <c r="F42" s="86">
        <v>116554.0</v>
      </c>
      <c r="G42" s="103">
        <v>34.88</v>
      </c>
      <c r="H42" s="103">
        <v>34.71</v>
      </c>
      <c r="I42" s="96">
        <f t="shared" si="1"/>
        <v>4045589.34</v>
      </c>
      <c r="J42" s="96">
        <f t="shared" si="2"/>
        <v>40455.8934</v>
      </c>
      <c r="K42" s="96"/>
      <c r="L42" s="96"/>
      <c r="M42" s="95">
        <f>ROUND(IF(H42&gt;31,31,H42)*50.686%*F42,-3)</f>
        <v>1831000</v>
      </c>
      <c r="N42" s="95">
        <f t="shared" si="12"/>
        <v>1936453.447</v>
      </c>
      <c r="O42" s="95">
        <f t="shared" si="13"/>
        <v>0.10464</v>
      </c>
      <c r="P42" s="95">
        <f t="shared" si="14"/>
        <v>0.17</v>
      </c>
      <c r="Q42" s="308">
        <f t="shared" si="15"/>
        <v>65360</v>
      </c>
      <c r="R42" s="308">
        <f t="shared" si="16"/>
        <v>32680</v>
      </c>
      <c r="S42" s="71" t="s">
        <v>1196</v>
      </c>
      <c r="T42" s="166">
        <v>35000.0</v>
      </c>
      <c r="U42" s="244">
        <f t="shared" si="20"/>
        <v>105000</v>
      </c>
      <c r="V42" s="84" t="s">
        <v>450</v>
      </c>
      <c r="W42" s="85">
        <v>50000.0</v>
      </c>
      <c r="X42" s="84" t="s">
        <v>450</v>
      </c>
      <c r="Y42" s="85">
        <v>0.0</v>
      </c>
      <c r="Z42" s="86" t="s">
        <v>91</v>
      </c>
      <c r="AA42" s="85">
        <v>100000.0</v>
      </c>
      <c r="AB42" s="136" t="s">
        <v>1251</v>
      </c>
      <c r="AC42" s="253" t="s">
        <v>1252</v>
      </c>
    </row>
    <row r="43">
      <c r="A43" s="242">
        <v>41.0</v>
      </c>
      <c r="B43" s="164">
        <v>46068.0</v>
      </c>
      <c r="C43" s="164">
        <v>46070.0</v>
      </c>
      <c r="D43" s="165" t="s">
        <v>89</v>
      </c>
      <c r="E43" s="165" t="s">
        <v>397</v>
      </c>
      <c r="F43" s="86">
        <v>190080.0</v>
      </c>
      <c r="G43" s="218">
        <v>30.28</v>
      </c>
      <c r="H43" s="218">
        <v>30.07</v>
      </c>
      <c r="I43" s="96">
        <f t="shared" si="1"/>
        <v>5715705.6</v>
      </c>
      <c r="J43" s="96">
        <f t="shared" si="2"/>
        <v>57157.056</v>
      </c>
      <c r="K43" s="96"/>
      <c r="L43" s="96"/>
      <c r="M43" s="95">
        <f>ROUND(IF(H43&gt;31,31,H43)*48.98%*F43,-3)</f>
        <v>2800000</v>
      </c>
      <c r="N43" s="95">
        <f t="shared" si="12"/>
        <v>2698968.544</v>
      </c>
      <c r="O43" s="95">
        <f t="shared" si="13"/>
        <v>0.09084</v>
      </c>
      <c r="P43" s="95">
        <f t="shared" si="14"/>
        <v>0.21</v>
      </c>
      <c r="Q43" s="308">
        <f t="shared" si="15"/>
        <v>119160</v>
      </c>
      <c r="R43" s="308">
        <f t="shared" si="16"/>
        <v>59580</v>
      </c>
      <c r="S43" s="71" t="s">
        <v>1196</v>
      </c>
      <c r="T43" s="166">
        <v>50000.0</v>
      </c>
      <c r="U43" s="244">
        <f t="shared" ref="U43:U46" si="21">0*T43</f>
        <v>0</v>
      </c>
      <c r="V43" s="84" t="s">
        <v>450</v>
      </c>
      <c r="W43" s="85">
        <v>50000.0</v>
      </c>
      <c r="X43" s="84" t="s">
        <v>450</v>
      </c>
      <c r="Y43" s="85">
        <v>0.0</v>
      </c>
      <c r="Z43" s="86" t="s">
        <v>91</v>
      </c>
      <c r="AA43" s="85">
        <v>100000.0</v>
      </c>
      <c r="AB43" s="136" t="s">
        <v>1265</v>
      </c>
      <c r="AC43" s="253" t="s">
        <v>1266</v>
      </c>
    </row>
    <row r="44">
      <c r="A44" s="242">
        <v>42.0</v>
      </c>
      <c r="B44" s="164">
        <v>46071.0</v>
      </c>
      <c r="C44" s="164">
        <v>46073.0</v>
      </c>
      <c r="D44" s="165" t="s">
        <v>89</v>
      </c>
      <c r="E44" s="165" t="s">
        <v>397</v>
      </c>
      <c r="F44" s="86">
        <v>190080.0</v>
      </c>
      <c r="G44" s="218">
        <v>30.74</v>
      </c>
      <c r="H44" s="218">
        <v>30.59</v>
      </c>
      <c r="I44" s="96">
        <f t="shared" si="1"/>
        <v>5814547.2</v>
      </c>
      <c r="J44" s="96">
        <f t="shared" si="2"/>
        <v>58145.472</v>
      </c>
      <c r="K44" s="96"/>
      <c r="L44" s="96"/>
      <c r="M44" s="95">
        <f>ROUND(IF(H44&gt;31,31,H44)*48.147%*F44,-3)</f>
        <v>2800000</v>
      </c>
      <c r="N44" s="95">
        <f t="shared" si="12"/>
        <v>2777511.728</v>
      </c>
      <c r="O44" s="95">
        <f t="shared" si="13"/>
        <v>0.09222</v>
      </c>
      <c r="P44" s="95">
        <f t="shared" si="14"/>
        <v>0.15</v>
      </c>
      <c r="Q44" s="308">
        <f t="shared" si="15"/>
        <v>57780</v>
      </c>
      <c r="R44" s="308">
        <f t="shared" si="16"/>
        <v>28890</v>
      </c>
      <c r="S44" s="71" t="s">
        <v>1196</v>
      </c>
      <c r="T44" s="166">
        <v>50000.0</v>
      </c>
      <c r="U44" s="244">
        <f t="shared" si="21"/>
        <v>0</v>
      </c>
      <c r="V44" s="84" t="s">
        <v>450</v>
      </c>
      <c r="W44" s="85">
        <v>50000.0</v>
      </c>
      <c r="X44" s="84" t="s">
        <v>450</v>
      </c>
      <c r="Y44" s="85">
        <v>50000.0</v>
      </c>
      <c r="Z44" s="313" t="s">
        <v>1269</v>
      </c>
      <c r="AA44" s="85">
        <v>100000.0</v>
      </c>
      <c r="AB44" s="136" t="s">
        <v>1271</v>
      </c>
      <c r="AC44" s="253" t="s">
        <v>1272</v>
      </c>
    </row>
    <row r="45">
      <c r="A45" s="242">
        <v>43.0</v>
      </c>
      <c r="B45" s="164">
        <v>46074.0</v>
      </c>
      <c r="C45" s="164">
        <v>46076.0</v>
      </c>
      <c r="D45" s="243" t="s">
        <v>54</v>
      </c>
      <c r="E45" s="165" t="s">
        <v>1274</v>
      </c>
      <c r="F45" s="86">
        <v>116554.0</v>
      </c>
      <c r="G45" s="103">
        <v>31.84</v>
      </c>
      <c r="H45" s="103">
        <v>31.84</v>
      </c>
      <c r="I45" s="96">
        <f t="shared" si="1"/>
        <v>3711079.36</v>
      </c>
      <c r="J45" s="96">
        <f t="shared" si="2"/>
        <v>37110.7936</v>
      </c>
      <c r="K45" s="96"/>
      <c r="L45" s="96"/>
      <c r="M45" s="95">
        <f>ROUND(IF(H45&gt;31,31,H45)*52.58552%*F45,-3)</f>
        <v>1900000</v>
      </c>
      <c r="N45" s="95">
        <f t="shared" si="12"/>
        <v>1673968.566</v>
      </c>
      <c r="O45" s="95">
        <f t="shared" si="13"/>
        <v>0.09552</v>
      </c>
      <c r="P45" s="95">
        <f t="shared" si="14"/>
        <v>0</v>
      </c>
      <c r="Q45" s="95">
        <f t="shared" si="15"/>
        <v>0</v>
      </c>
      <c r="R45" s="95">
        <f t="shared" si="16"/>
        <v>0</v>
      </c>
      <c r="S45" s="71" t="s">
        <v>91</v>
      </c>
      <c r="T45" s="166">
        <v>35000.0</v>
      </c>
      <c r="U45" s="244">
        <f t="shared" si="21"/>
        <v>0</v>
      </c>
      <c r="V45" s="84" t="s">
        <v>450</v>
      </c>
      <c r="W45" s="85">
        <v>50000.0</v>
      </c>
      <c r="X45" s="84" t="s">
        <v>450</v>
      </c>
      <c r="Y45" s="85">
        <v>0.0</v>
      </c>
      <c r="Z45" s="86" t="s">
        <v>91</v>
      </c>
      <c r="AA45" s="85">
        <v>100000.0</v>
      </c>
      <c r="AB45" s="136" t="s">
        <v>1277</v>
      </c>
      <c r="AC45" s="215"/>
      <c r="AD45" s="270"/>
      <c r="AE45" s="270"/>
    </row>
    <row r="46">
      <c r="A46" s="242">
        <v>44.0</v>
      </c>
      <c r="B46" s="164">
        <v>46078.0</v>
      </c>
      <c r="C46" s="164">
        <v>46080.0</v>
      </c>
      <c r="D46" s="243" t="s">
        <v>54</v>
      </c>
      <c r="E46" s="165" t="s">
        <v>565</v>
      </c>
      <c r="F46" s="86">
        <v>116554.0</v>
      </c>
      <c r="G46" s="218">
        <v>31.18</v>
      </c>
      <c r="H46" s="218">
        <v>30.86</v>
      </c>
      <c r="I46" s="96">
        <f t="shared" si="1"/>
        <v>3596856.44</v>
      </c>
      <c r="J46" s="96">
        <f t="shared" si="2"/>
        <v>35968.5644</v>
      </c>
      <c r="K46" s="96"/>
      <c r="L46" s="96"/>
      <c r="M46" s="95">
        <f>ROUND(IF(H46&gt;31,31,H46)*52.811%*F46,-3)</f>
        <v>1900000</v>
      </c>
      <c r="N46" s="95">
        <f t="shared" si="12"/>
        <v>1447657.876</v>
      </c>
      <c r="O46" s="95">
        <f t="shared" si="13"/>
        <v>0.09354</v>
      </c>
      <c r="P46" s="95">
        <f t="shared" si="14"/>
        <v>0.32</v>
      </c>
      <c r="Q46" s="308">
        <f t="shared" si="15"/>
        <v>226460</v>
      </c>
      <c r="R46" s="308">
        <f t="shared" si="16"/>
        <v>113230</v>
      </c>
      <c r="S46" s="71" t="s">
        <v>1196</v>
      </c>
      <c r="T46" s="166">
        <v>35000.0</v>
      </c>
      <c r="U46" s="244">
        <f t="shared" si="21"/>
        <v>0</v>
      </c>
      <c r="V46" s="84" t="s">
        <v>450</v>
      </c>
      <c r="W46" s="85">
        <v>50000.0</v>
      </c>
      <c r="X46" s="84" t="s">
        <v>450</v>
      </c>
      <c r="Y46" s="85">
        <v>0.0</v>
      </c>
      <c r="Z46" s="86" t="s">
        <v>91</v>
      </c>
      <c r="AA46" s="85">
        <v>100000.0</v>
      </c>
      <c r="AB46" s="136" t="s">
        <v>1284</v>
      </c>
      <c r="AC46" s="253" t="s">
        <v>1285</v>
      </c>
    </row>
    <row r="47">
      <c r="A47" s="242">
        <v>45.0</v>
      </c>
      <c r="B47" s="164">
        <v>46081.0</v>
      </c>
      <c r="C47" s="164">
        <v>46083.0</v>
      </c>
      <c r="D47" s="165" t="s">
        <v>764</v>
      </c>
      <c r="E47" s="165" t="s">
        <v>765</v>
      </c>
      <c r="F47" s="149">
        <v>110246.4</v>
      </c>
      <c r="G47" s="103">
        <v>35.24</v>
      </c>
      <c r="H47" s="103">
        <v>35.1</v>
      </c>
      <c r="I47" s="96">
        <f t="shared" si="1"/>
        <v>3869648.64</v>
      </c>
      <c r="J47" s="96">
        <f t="shared" si="2"/>
        <v>38696.4864</v>
      </c>
      <c r="K47" s="96"/>
      <c r="L47" s="96"/>
      <c r="M47" s="95">
        <f>ROUND(IF(H47&gt;31,31,H47)*52.6679475%*F47,-3)</f>
        <v>1800000</v>
      </c>
      <c r="N47" s="95">
        <f t="shared" si="12"/>
        <v>1663812.154</v>
      </c>
      <c r="O47" s="95">
        <f t="shared" si="13"/>
        <v>0.10572</v>
      </c>
      <c r="P47" s="95">
        <f t="shared" si="14"/>
        <v>0.14</v>
      </c>
      <c r="Q47" s="308">
        <f t="shared" si="15"/>
        <v>34280</v>
      </c>
      <c r="R47" s="308">
        <f t="shared" si="16"/>
        <v>17140</v>
      </c>
      <c r="S47" s="71" t="s">
        <v>1196</v>
      </c>
      <c r="T47" s="166">
        <v>50000.0</v>
      </c>
      <c r="U47" s="244">
        <f>4*T47</f>
        <v>200000</v>
      </c>
      <c r="V47" s="84" t="s">
        <v>450</v>
      </c>
      <c r="W47" s="85" t="s">
        <v>1232</v>
      </c>
      <c r="X47" s="84" t="s">
        <v>450</v>
      </c>
      <c r="Y47" s="85">
        <v>50000.0</v>
      </c>
      <c r="Z47" s="313" t="s">
        <v>1290</v>
      </c>
      <c r="AA47" s="85">
        <v>100000.0</v>
      </c>
      <c r="AB47" s="354" t="s">
        <v>1291</v>
      </c>
      <c r="AC47" s="253" t="s">
        <v>1293</v>
      </c>
    </row>
    <row r="48">
      <c r="A48" s="242">
        <v>46.0</v>
      </c>
      <c r="B48" s="164">
        <v>46086.0</v>
      </c>
      <c r="C48" s="164">
        <v>46088.0</v>
      </c>
      <c r="D48" s="243" t="s">
        <v>54</v>
      </c>
      <c r="E48" s="165" t="s">
        <v>565</v>
      </c>
      <c r="F48" s="86">
        <v>116554.0</v>
      </c>
      <c r="G48" s="218">
        <v>31.0</v>
      </c>
      <c r="H48" s="218">
        <v>30.96</v>
      </c>
      <c r="I48" s="96">
        <f t="shared" si="1"/>
        <v>3608511.84</v>
      </c>
      <c r="J48" s="96">
        <f t="shared" si="2"/>
        <v>36085.1184</v>
      </c>
      <c r="K48" s="96"/>
      <c r="L48" s="96"/>
      <c r="M48" s="95">
        <f>ROUND(IF(H48&gt;31,31,H48)*52.64%*F48,-3)</f>
        <v>1900000</v>
      </c>
      <c r="N48" s="95">
        <f t="shared" si="12"/>
        <v>1522426.722</v>
      </c>
      <c r="O48" s="95">
        <f t="shared" si="13"/>
        <v>0.093</v>
      </c>
      <c r="P48" s="95">
        <f t="shared" si="14"/>
        <v>0.04</v>
      </c>
      <c r="Q48" s="95">
        <f t="shared" si="15"/>
        <v>0</v>
      </c>
      <c r="R48" s="95">
        <f t="shared" si="16"/>
        <v>0</v>
      </c>
      <c r="S48" s="71" t="s">
        <v>91</v>
      </c>
      <c r="T48" s="166">
        <v>35000.0</v>
      </c>
      <c r="U48" s="244">
        <f>0*T48</f>
        <v>0</v>
      </c>
      <c r="V48" s="84" t="s">
        <v>450</v>
      </c>
      <c r="W48" s="85" t="s">
        <v>1232</v>
      </c>
      <c r="X48" s="84" t="s">
        <v>450</v>
      </c>
      <c r="Y48" s="85">
        <v>50000.0</v>
      </c>
      <c r="Z48" s="313" t="s">
        <v>1302</v>
      </c>
      <c r="AA48" s="85">
        <v>100000.0</v>
      </c>
      <c r="AB48" s="136" t="s">
        <v>1303</v>
      </c>
      <c r="AC48" s="253" t="s">
        <v>1304</v>
      </c>
    </row>
    <row r="49">
      <c r="A49" s="242">
        <v>47.0</v>
      </c>
      <c r="B49" s="164">
        <v>46089.0</v>
      </c>
      <c r="C49" s="164">
        <v>46090.0</v>
      </c>
      <c r="D49" s="243" t="s">
        <v>54</v>
      </c>
      <c r="E49" s="165" t="s">
        <v>565</v>
      </c>
      <c r="F49" s="86">
        <v>116554.0</v>
      </c>
      <c r="G49" s="103">
        <v>35.32</v>
      </c>
      <c r="H49" s="103">
        <v>35.32</v>
      </c>
      <c r="I49" s="96">
        <f t="shared" si="1"/>
        <v>4116687.28</v>
      </c>
      <c r="J49" s="96">
        <f t="shared" si="2"/>
        <v>41166.8728</v>
      </c>
      <c r="K49" s="96"/>
      <c r="L49" s="96"/>
      <c r="M49" s="95">
        <f>ROUND(IF(H49&gt;31,31,H49)*52.58552%*F49,-3)</f>
        <v>1900000</v>
      </c>
      <c r="N49" s="95">
        <f t="shared" si="12"/>
        <v>1935520.407</v>
      </c>
      <c r="O49" s="95">
        <f t="shared" si="13"/>
        <v>0.10596</v>
      </c>
      <c r="P49" s="95">
        <f t="shared" si="14"/>
        <v>0</v>
      </c>
      <c r="Q49" s="95">
        <f t="shared" si="15"/>
        <v>0</v>
      </c>
      <c r="R49" s="95">
        <f t="shared" si="16"/>
        <v>0</v>
      </c>
      <c r="S49" s="71" t="s">
        <v>91</v>
      </c>
      <c r="T49" s="166">
        <v>35000.0</v>
      </c>
      <c r="U49" s="244">
        <f>4*T49</f>
        <v>140000</v>
      </c>
      <c r="V49" s="84" t="s">
        <v>450</v>
      </c>
      <c r="W49" s="85" t="s">
        <v>1232</v>
      </c>
      <c r="X49" s="84" t="s">
        <v>450</v>
      </c>
      <c r="Y49" s="85">
        <v>0.0</v>
      </c>
      <c r="Z49" s="86" t="s">
        <v>91</v>
      </c>
      <c r="AA49" s="85">
        <v>100000.0</v>
      </c>
      <c r="AB49" s="136" t="s">
        <v>1330</v>
      </c>
      <c r="AC49" s="260" t="s">
        <v>1333</v>
      </c>
    </row>
    <row r="50">
      <c r="A50" s="242">
        <v>48.0</v>
      </c>
      <c r="B50" s="164">
        <v>46091.0</v>
      </c>
      <c r="C50" s="164">
        <v>46092.0</v>
      </c>
      <c r="D50" s="165" t="s">
        <v>89</v>
      </c>
      <c r="E50" s="165" t="s">
        <v>530</v>
      </c>
      <c r="F50" s="86">
        <v>190080.0</v>
      </c>
      <c r="G50" s="103">
        <v>31.06</v>
      </c>
      <c r="H50" s="103">
        <v>31.06</v>
      </c>
      <c r="I50" s="96">
        <f t="shared" si="1"/>
        <v>5903884.8</v>
      </c>
      <c r="J50" s="96">
        <f t="shared" si="2"/>
        <v>59038.848</v>
      </c>
      <c r="K50" s="96"/>
      <c r="L50" s="96"/>
      <c r="M50" s="95">
        <f>ROUND(IF(H50&gt;31,31,H50)*47.5182%*F50,-3)</f>
        <v>2800000</v>
      </c>
      <c r="N50" s="95">
        <f t="shared" si="12"/>
        <v>2944845.952</v>
      </c>
      <c r="O50" s="95">
        <f t="shared" si="13"/>
        <v>0.09318</v>
      </c>
      <c r="P50" s="95">
        <f t="shared" si="14"/>
        <v>0</v>
      </c>
      <c r="Q50" s="95">
        <f t="shared" si="15"/>
        <v>0</v>
      </c>
      <c r="R50" s="95">
        <f t="shared" si="16"/>
        <v>0</v>
      </c>
      <c r="S50" s="71" t="s">
        <v>91</v>
      </c>
      <c r="T50" s="166">
        <v>50000.0</v>
      </c>
      <c r="U50" s="244">
        <f t="shared" ref="U50:U51" si="22">0*T50</f>
        <v>0</v>
      </c>
      <c r="V50" s="84" t="s">
        <v>450</v>
      </c>
      <c r="W50" s="85" t="s">
        <v>1232</v>
      </c>
      <c r="X50" s="84" t="s">
        <v>450</v>
      </c>
      <c r="Y50" s="85">
        <v>0.0</v>
      </c>
      <c r="Z50" s="86" t="s">
        <v>91</v>
      </c>
      <c r="AA50" s="85">
        <v>100000.0</v>
      </c>
      <c r="AB50" s="136" t="s">
        <v>1348</v>
      </c>
      <c r="AC50" s="260" t="s">
        <v>1349</v>
      </c>
    </row>
    <row r="51">
      <c r="A51" s="242">
        <v>49.0</v>
      </c>
      <c r="B51" s="164">
        <v>46093.0</v>
      </c>
      <c r="C51" s="164">
        <v>46094.0</v>
      </c>
      <c r="D51" s="243" t="s">
        <v>54</v>
      </c>
      <c r="E51" s="165" t="s">
        <v>565</v>
      </c>
      <c r="F51" s="86">
        <v>116554.0</v>
      </c>
      <c r="G51" s="218">
        <v>29.98</v>
      </c>
      <c r="H51" s="218">
        <v>29.98</v>
      </c>
      <c r="I51" s="96">
        <f t="shared" si="1"/>
        <v>3494288.92</v>
      </c>
      <c r="J51" s="96">
        <f t="shared" si="2"/>
        <v>34942.8892</v>
      </c>
      <c r="K51" s="96"/>
      <c r="L51" s="96"/>
      <c r="M51" s="95">
        <f>ROUND(IF(H51&gt;31,31,H51)*54.37%*F51,-3)</f>
        <v>1900000</v>
      </c>
      <c r="N51" s="95">
        <f t="shared" si="12"/>
        <v>1459346.031</v>
      </c>
      <c r="O51" s="95">
        <f t="shared" si="13"/>
        <v>0.08994</v>
      </c>
      <c r="P51" s="95">
        <f t="shared" si="14"/>
        <v>0</v>
      </c>
      <c r="Q51" s="95">
        <f t="shared" si="15"/>
        <v>0</v>
      </c>
      <c r="R51" s="95">
        <f t="shared" si="16"/>
        <v>0</v>
      </c>
      <c r="S51" s="71" t="s">
        <v>91</v>
      </c>
      <c r="T51" s="166">
        <v>35000.0</v>
      </c>
      <c r="U51" s="244">
        <f t="shared" si="22"/>
        <v>0</v>
      </c>
      <c r="V51" s="84" t="s">
        <v>450</v>
      </c>
      <c r="W51" s="85" t="s">
        <v>1232</v>
      </c>
      <c r="X51" s="84" t="s">
        <v>450</v>
      </c>
      <c r="Y51" s="85">
        <v>0.0</v>
      </c>
      <c r="Z51" s="86" t="s">
        <v>91</v>
      </c>
      <c r="AA51" s="85">
        <v>100000.0</v>
      </c>
      <c r="AB51" s="136" t="s">
        <v>1355</v>
      </c>
      <c r="AC51" s="260" t="s">
        <v>1358</v>
      </c>
    </row>
    <row r="52">
      <c r="A52" s="242">
        <v>50.0</v>
      </c>
      <c r="B52" s="164">
        <v>46112.0</v>
      </c>
      <c r="C52" s="164">
        <v>46113.0</v>
      </c>
      <c r="D52" s="165" t="s">
        <v>764</v>
      </c>
      <c r="E52" s="165" t="s">
        <v>765</v>
      </c>
      <c r="F52" s="149">
        <v>110246.4</v>
      </c>
      <c r="G52" s="218">
        <v>32.66</v>
      </c>
      <c r="H52" s="218">
        <v>32.64</v>
      </c>
      <c r="I52" s="96">
        <f t="shared" si="1"/>
        <v>3598442.496</v>
      </c>
      <c r="J52" s="96">
        <f t="shared" si="2"/>
        <v>35984.42496</v>
      </c>
      <c r="K52" s="96"/>
      <c r="L52" s="96"/>
      <c r="M52" s="298">
        <f>ROUND(IF(H52&gt;31,31,H52)*52.6679475%*F52,-3)</f>
        <v>1800000</v>
      </c>
      <c r="N52" s="95">
        <f t="shared" si="12"/>
        <v>1662458.071</v>
      </c>
      <c r="O52" s="95">
        <f t="shared" si="13"/>
        <v>0.09798</v>
      </c>
      <c r="P52" s="95">
        <f t="shared" si="14"/>
        <v>0.02</v>
      </c>
      <c r="Q52" s="95">
        <f t="shared" si="15"/>
        <v>0</v>
      </c>
      <c r="R52" s="95">
        <f t="shared" si="16"/>
        <v>0</v>
      </c>
      <c r="S52" s="71" t="s">
        <v>91</v>
      </c>
      <c r="T52" s="166">
        <v>50000.0</v>
      </c>
      <c r="U52" s="284">
        <f>(1-1)*T52</f>
        <v>0</v>
      </c>
      <c r="V52" s="85" t="s">
        <v>1366</v>
      </c>
      <c r="W52" s="85" t="s">
        <v>1232</v>
      </c>
      <c r="X52" s="85" t="s">
        <v>1366</v>
      </c>
      <c r="Y52" s="85">
        <v>0.0</v>
      </c>
      <c r="Z52" s="86" t="s">
        <v>91</v>
      </c>
      <c r="AA52" s="85">
        <v>100000.0</v>
      </c>
      <c r="AB52" s="136" t="s">
        <v>1370</v>
      </c>
      <c r="AC52" s="253" t="s">
        <v>1373</v>
      </c>
    </row>
    <row r="53">
      <c r="A53" s="242">
        <v>51.0</v>
      </c>
      <c r="B53" s="164">
        <v>46117.0</v>
      </c>
      <c r="C53" s="164">
        <v>46119.0</v>
      </c>
      <c r="D53" s="165" t="s">
        <v>89</v>
      </c>
      <c r="E53" s="165" t="s">
        <v>397</v>
      </c>
      <c r="F53" s="86">
        <v>190080.0</v>
      </c>
      <c r="G53" s="103">
        <v>31.8</v>
      </c>
      <c r="H53" s="103">
        <v>31.48</v>
      </c>
      <c r="I53" s="96">
        <f t="shared" si="1"/>
        <v>5983718.4</v>
      </c>
      <c r="J53" s="96">
        <f t="shared" si="2"/>
        <v>59837.184</v>
      </c>
      <c r="K53" s="96"/>
      <c r="L53" s="96"/>
      <c r="M53" s="95">
        <f>ROUND(IF(H53&gt;29,29,H53)*50.8%*F53,-3)</f>
        <v>2800000</v>
      </c>
      <c r="N53" s="95">
        <f t="shared" si="12"/>
        <v>2911581.216</v>
      </c>
      <c r="O53" s="95">
        <f t="shared" si="13"/>
        <v>0.0954</v>
      </c>
      <c r="P53" s="95">
        <f t="shared" si="14"/>
        <v>0.32</v>
      </c>
      <c r="Q53" s="308">
        <f t="shared" si="15"/>
        <v>224600</v>
      </c>
      <c r="R53" s="308">
        <f t="shared" si="16"/>
        <v>112300</v>
      </c>
      <c r="S53" s="71" t="s">
        <v>1196</v>
      </c>
      <c r="T53" s="166">
        <v>50000.0</v>
      </c>
      <c r="U53" s="244">
        <f>0*T53</f>
        <v>0</v>
      </c>
      <c r="V53" s="85" t="s">
        <v>1366</v>
      </c>
      <c r="W53" s="85" t="s">
        <v>1232</v>
      </c>
      <c r="X53" s="85" t="s">
        <v>1366</v>
      </c>
      <c r="Y53" s="85">
        <v>0.0</v>
      </c>
      <c r="Z53" s="86" t="s">
        <v>91</v>
      </c>
      <c r="AA53" s="85">
        <v>100000.0</v>
      </c>
      <c r="AB53" s="136" t="s">
        <v>1386</v>
      </c>
      <c r="AC53" s="253" t="s">
        <v>1387</v>
      </c>
    </row>
    <row r="54">
      <c r="A54" s="214">
        <v>52.0</v>
      </c>
      <c r="B54" s="164">
        <v>46128.0</v>
      </c>
      <c r="C54" s="164">
        <v>46130.0</v>
      </c>
      <c r="D54" s="165" t="s">
        <v>764</v>
      </c>
      <c r="E54" s="165" t="s">
        <v>765</v>
      </c>
      <c r="F54" s="149">
        <v>110246.4</v>
      </c>
      <c r="G54" s="103">
        <v>35.16</v>
      </c>
      <c r="H54" s="103">
        <v>35.06</v>
      </c>
      <c r="I54" s="96">
        <f t="shared" si="1"/>
        <v>3865238.784</v>
      </c>
      <c r="J54" s="96">
        <f t="shared" si="2"/>
        <v>38652.38784</v>
      </c>
      <c r="K54" s="96"/>
      <c r="L54" s="96"/>
      <c r="M54" s="95">
        <f t="shared" ref="M54:M56" si="23">ROUND(IF(H54&gt;31,31,H54)*52.6679475%*F54,-3)</f>
        <v>1800000</v>
      </c>
      <c r="N54" s="95">
        <f t="shared" si="12"/>
        <v>1726586.396</v>
      </c>
      <c r="O54" s="95">
        <f t="shared" si="13"/>
        <v>0.10548</v>
      </c>
      <c r="P54" s="95">
        <f t="shared" si="14"/>
        <v>0.1</v>
      </c>
      <c r="Q54" s="95">
        <f t="shared" si="15"/>
        <v>0</v>
      </c>
      <c r="R54" s="95">
        <f t="shared" si="16"/>
        <v>0</v>
      </c>
      <c r="S54" s="71" t="s">
        <v>91</v>
      </c>
      <c r="T54" s="166">
        <v>50000.0</v>
      </c>
      <c r="U54" s="244">
        <f>4*T54</f>
        <v>200000</v>
      </c>
      <c r="V54" s="85" t="s">
        <v>1366</v>
      </c>
      <c r="W54" s="85" t="s">
        <v>1232</v>
      </c>
      <c r="X54" s="85" t="s">
        <v>1366</v>
      </c>
      <c r="Y54" s="85">
        <v>0.0</v>
      </c>
      <c r="Z54" s="86" t="s">
        <v>91</v>
      </c>
      <c r="AA54" s="85">
        <v>100000.0</v>
      </c>
      <c r="AB54" s="136" t="s">
        <v>1401</v>
      </c>
      <c r="AC54" s="253" t="s">
        <v>1402</v>
      </c>
    </row>
    <row r="55">
      <c r="A55" s="242">
        <v>53.0</v>
      </c>
      <c r="B55" s="164">
        <v>46131.0</v>
      </c>
      <c r="C55" s="164">
        <v>46132.0</v>
      </c>
      <c r="D55" s="165" t="s">
        <v>764</v>
      </c>
      <c r="E55" s="165" t="s">
        <v>765</v>
      </c>
      <c r="F55" s="149">
        <v>110246.4</v>
      </c>
      <c r="G55" s="103">
        <v>36.52</v>
      </c>
      <c r="H55" s="103">
        <v>36.52</v>
      </c>
      <c r="I55" s="96">
        <f t="shared" si="1"/>
        <v>4026198.528</v>
      </c>
      <c r="J55" s="96">
        <f t="shared" si="2"/>
        <v>40261.98528</v>
      </c>
      <c r="K55" s="96"/>
      <c r="L55" s="96"/>
      <c r="M55" s="95">
        <f t="shared" si="23"/>
        <v>1800000</v>
      </c>
      <c r="N55" s="95">
        <f t="shared" si="12"/>
        <v>1835936.543</v>
      </c>
      <c r="O55" s="95">
        <f t="shared" si="13"/>
        <v>0.10956</v>
      </c>
      <c r="P55" s="95">
        <f t="shared" si="14"/>
        <v>0</v>
      </c>
      <c r="Q55" s="95">
        <f t="shared" si="15"/>
        <v>0</v>
      </c>
      <c r="R55" s="95">
        <f t="shared" si="16"/>
        <v>0</v>
      </c>
      <c r="S55" s="71" t="s">
        <v>91</v>
      </c>
      <c r="T55" s="166">
        <v>50000.0</v>
      </c>
      <c r="U55" s="244">
        <f>5*T55</f>
        <v>250000</v>
      </c>
      <c r="V55" s="85" t="s">
        <v>1366</v>
      </c>
      <c r="W55" s="85" t="s">
        <v>1232</v>
      </c>
      <c r="X55" s="85" t="s">
        <v>1366</v>
      </c>
      <c r="Y55" s="85">
        <v>0.0</v>
      </c>
      <c r="Z55" s="86" t="s">
        <v>91</v>
      </c>
      <c r="AA55" s="85">
        <v>100000.0</v>
      </c>
      <c r="AB55" s="136" t="s">
        <v>1410</v>
      </c>
      <c r="AC55" s="361"/>
    </row>
    <row r="56">
      <c r="A56" s="242">
        <v>54.0</v>
      </c>
      <c r="B56" s="164">
        <v>46134.0</v>
      </c>
      <c r="C56" s="164">
        <v>46135.0</v>
      </c>
      <c r="D56" s="165" t="s">
        <v>764</v>
      </c>
      <c r="E56" s="165" t="s">
        <v>765</v>
      </c>
      <c r="F56" s="149">
        <v>110246.4</v>
      </c>
      <c r="G56" s="218">
        <v>32.54</v>
      </c>
      <c r="H56" s="218">
        <v>32.46</v>
      </c>
      <c r="I56" s="96">
        <f t="shared" si="1"/>
        <v>3578598.144</v>
      </c>
      <c r="J56" s="96">
        <f t="shared" si="2"/>
        <v>35785.98144</v>
      </c>
      <c r="K56" s="96"/>
      <c r="L56" s="96"/>
      <c r="M56" s="298">
        <f t="shared" si="23"/>
        <v>1800000</v>
      </c>
      <c r="N56" s="95">
        <f t="shared" si="12"/>
        <v>1642812.163</v>
      </c>
      <c r="O56" s="95">
        <f t="shared" si="13"/>
        <v>0.09762</v>
      </c>
      <c r="P56" s="95">
        <f t="shared" si="14"/>
        <v>0.08</v>
      </c>
      <c r="Q56" s="95">
        <f t="shared" si="15"/>
        <v>0</v>
      </c>
      <c r="R56" s="95">
        <f t="shared" si="16"/>
        <v>0</v>
      </c>
      <c r="S56" s="71" t="s">
        <v>91</v>
      </c>
      <c r="T56" s="166">
        <v>50000.0</v>
      </c>
      <c r="U56" s="284">
        <f>(1-1)*T52</f>
        <v>0</v>
      </c>
      <c r="V56" s="85" t="s">
        <v>1366</v>
      </c>
      <c r="W56" s="85" t="s">
        <v>1232</v>
      </c>
      <c r="X56" s="85" t="s">
        <v>1366</v>
      </c>
      <c r="Y56" s="85">
        <v>0.0</v>
      </c>
      <c r="Z56" s="86" t="s">
        <v>91</v>
      </c>
      <c r="AA56" s="85">
        <v>100000.0</v>
      </c>
      <c r="AB56" s="136" t="s">
        <v>1423</v>
      </c>
      <c r="AC56" s="253" t="s">
        <v>1424</v>
      </c>
    </row>
    <row r="57">
      <c r="A57" s="242">
        <v>55.0</v>
      </c>
      <c r="B57" s="164">
        <v>46136.0</v>
      </c>
      <c r="C57" s="164">
        <v>46137.0</v>
      </c>
      <c r="D57" s="243" t="s">
        <v>54</v>
      </c>
      <c r="E57" s="165" t="s">
        <v>565</v>
      </c>
      <c r="F57" s="86">
        <v>116554.0</v>
      </c>
      <c r="G57" s="218">
        <v>29.18</v>
      </c>
      <c r="H57" s="218">
        <v>29.18</v>
      </c>
      <c r="I57" s="96">
        <f t="shared" si="1"/>
        <v>3401045.72</v>
      </c>
      <c r="J57" s="96">
        <f t="shared" si="2"/>
        <v>34010.4572</v>
      </c>
      <c r="K57" s="96"/>
      <c r="L57" s="96"/>
      <c r="M57" s="95">
        <f>ROUND(IF(H57&gt;31,31,H57)*55.86%*F57,-3)</f>
        <v>1900000</v>
      </c>
      <c r="N57" s="95">
        <f t="shared" si="12"/>
        <v>1467035.263</v>
      </c>
      <c r="O57" s="95">
        <f t="shared" si="13"/>
        <v>0.08754</v>
      </c>
      <c r="P57" s="95">
        <f t="shared" si="14"/>
        <v>0</v>
      </c>
      <c r="Q57" s="95">
        <f t="shared" si="15"/>
        <v>0</v>
      </c>
      <c r="R57" s="95">
        <f t="shared" si="16"/>
        <v>0</v>
      </c>
      <c r="S57" s="71" t="s">
        <v>91</v>
      </c>
      <c r="T57" s="402">
        <v>50000.0</v>
      </c>
      <c r="U57" s="284">
        <f>-2*T57</f>
        <v>-100000</v>
      </c>
      <c r="V57" s="85" t="s">
        <v>1366</v>
      </c>
      <c r="W57" s="85" t="s">
        <v>1232</v>
      </c>
      <c r="X57" s="85" t="s">
        <v>1366</v>
      </c>
      <c r="Y57" s="85">
        <v>0.0</v>
      </c>
      <c r="Z57" s="86" t="s">
        <v>91</v>
      </c>
      <c r="AA57" s="85">
        <v>100000.0</v>
      </c>
      <c r="AB57" s="136" t="s">
        <v>1433</v>
      </c>
      <c r="AC57" s="406" t="s">
        <v>1434</v>
      </c>
    </row>
    <row r="58">
      <c r="A58" s="242">
        <v>56.0</v>
      </c>
      <c r="B58" s="164">
        <v>46140.0</v>
      </c>
      <c r="C58" s="164">
        <v>46141.0</v>
      </c>
      <c r="D58" s="165" t="s">
        <v>764</v>
      </c>
      <c r="E58" s="165" t="s">
        <v>765</v>
      </c>
      <c r="F58" s="149">
        <v>110246.4</v>
      </c>
      <c r="G58" s="103">
        <v>33.08</v>
      </c>
      <c r="H58" s="103">
        <v>33.02</v>
      </c>
      <c r="I58" s="96">
        <f t="shared" si="1"/>
        <v>3640336.128</v>
      </c>
      <c r="J58" s="96">
        <f t="shared" si="2"/>
        <v>36403.36128</v>
      </c>
      <c r="K58" s="96"/>
      <c r="L58" s="96"/>
      <c r="M58" s="95">
        <f>ROUND(IF(H58&gt;31,31,H58)*52.6679475%*F58,-3)</f>
        <v>1800000</v>
      </c>
      <c r="N58" s="95">
        <f t="shared" si="12"/>
        <v>1603932.767</v>
      </c>
      <c r="O58" s="95">
        <f t="shared" si="13"/>
        <v>0.09924</v>
      </c>
      <c r="P58" s="95">
        <f t="shared" si="14"/>
        <v>0.06</v>
      </c>
      <c r="Q58" s="95">
        <f t="shared" si="15"/>
        <v>0</v>
      </c>
      <c r="R58" s="95">
        <f t="shared" si="16"/>
        <v>0</v>
      </c>
      <c r="S58" s="71" t="s">
        <v>91</v>
      </c>
      <c r="T58" s="166">
        <v>50000.0</v>
      </c>
      <c r="U58" s="244">
        <f>2*T58</f>
        <v>100000</v>
      </c>
      <c r="V58" s="85" t="s">
        <v>1366</v>
      </c>
      <c r="W58" s="85" t="s">
        <v>1232</v>
      </c>
      <c r="X58" s="85" t="s">
        <v>1366</v>
      </c>
      <c r="Y58" s="85">
        <v>0.0</v>
      </c>
      <c r="Z58" s="86" t="s">
        <v>91</v>
      </c>
      <c r="AA58" s="85">
        <v>100000.0</v>
      </c>
      <c r="AB58" s="136" t="s">
        <v>1453</v>
      </c>
      <c r="AC58" s="361"/>
    </row>
    <row r="59">
      <c r="A59" s="242">
        <v>57.0</v>
      </c>
      <c r="B59" s="164">
        <v>46143.0</v>
      </c>
      <c r="C59" s="164">
        <v>46144.0</v>
      </c>
      <c r="D59" s="165" t="s">
        <v>89</v>
      </c>
      <c r="E59" s="165" t="s">
        <v>1445</v>
      </c>
      <c r="F59" s="86">
        <v>190080.0</v>
      </c>
      <c r="G59" s="218">
        <v>28.02</v>
      </c>
      <c r="H59" s="218">
        <v>28.05</v>
      </c>
      <c r="I59" s="96">
        <f t="shared" si="1"/>
        <v>5331744</v>
      </c>
      <c r="J59" s="96">
        <f t="shared" si="2"/>
        <v>53317.44</v>
      </c>
      <c r="K59" s="96"/>
      <c r="L59" s="96"/>
      <c r="M59" s="298">
        <f>ROUND(IF(H59&gt;31,31,H59)*51.57%*F59,-3)</f>
        <v>2750000</v>
      </c>
      <c r="N59" s="95">
        <f t="shared" si="12"/>
        <v>2428426.56</v>
      </c>
      <c r="O59" s="95">
        <f t="shared" si="13"/>
        <v>0.08406</v>
      </c>
      <c r="P59" s="95">
        <f t="shared" si="14"/>
        <v>-0.03</v>
      </c>
      <c r="Q59" s="95">
        <f t="shared" si="15"/>
        <v>0</v>
      </c>
      <c r="R59" s="95">
        <f t="shared" si="16"/>
        <v>0</v>
      </c>
      <c r="S59" s="71" t="s">
        <v>91</v>
      </c>
      <c r="T59" s="166">
        <v>50000.0</v>
      </c>
      <c r="U59" s="244">
        <f t="shared" ref="U59:U63" si="24">0*T59</f>
        <v>0</v>
      </c>
      <c r="V59" s="85" t="s">
        <v>1366</v>
      </c>
      <c r="W59" s="85" t="s">
        <v>1232</v>
      </c>
      <c r="X59" s="85" t="s">
        <v>1366</v>
      </c>
      <c r="Y59" s="85">
        <v>0.0</v>
      </c>
      <c r="Z59" s="86" t="s">
        <v>91</v>
      </c>
      <c r="AA59" s="85">
        <v>100000.0</v>
      </c>
      <c r="AB59" s="136" t="s">
        <v>1465</v>
      </c>
      <c r="AC59" s="260" t="s">
        <v>1466</v>
      </c>
    </row>
    <row r="60">
      <c r="A60" s="242">
        <v>58.0</v>
      </c>
      <c r="B60" s="164">
        <v>46145.0</v>
      </c>
      <c r="C60" s="164">
        <v>46147.0</v>
      </c>
      <c r="D60" s="165" t="s">
        <v>89</v>
      </c>
      <c r="E60" s="165" t="s">
        <v>1445</v>
      </c>
      <c r="F60" s="86">
        <v>190080.0</v>
      </c>
      <c r="G60" s="218">
        <v>29.62</v>
      </c>
      <c r="H60" s="218">
        <v>29.35</v>
      </c>
      <c r="I60" s="96">
        <f t="shared" si="1"/>
        <v>5578848</v>
      </c>
      <c r="J60" s="96">
        <f t="shared" si="2"/>
        <v>55788.48</v>
      </c>
      <c r="K60" s="96"/>
      <c r="L60" s="96"/>
      <c r="M60" s="95">
        <f>ROUND(IF(H60&gt;31,31,H60)*50.19%*F60,-3)</f>
        <v>2800000</v>
      </c>
      <c r="N60" s="95">
        <f t="shared" si="12"/>
        <v>2532489.52</v>
      </c>
      <c r="O60" s="95">
        <f t="shared" si="13"/>
        <v>0.08886</v>
      </c>
      <c r="P60" s="95">
        <f t="shared" si="14"/>
        <v>0.27</v>
      </c>
      <c r="Q60" s="308">
        <f t="shared" si="15"/>
        <v>181140</v>
      </c>
      <c r="R60" s="308">
        <f t="shared" si="16"/>
        <v>90570</v>
      </c>
      <c r="S60" s="71" t="s">
        <v>1196</v>
      </c>
      <c r="T60" s="166">
        <v>50000.0</v>
      </c>
      <c r="U60" s="244">
        <f t="shared" si="24"/>
        <v>0</v>
      </c>
      <c r="V60" s="85" t="s">
        <v>1366</v>
      </c>
      <c r="W60" s="85" t="s">
        <v>1232</v>
      </c>
      <c r="X60" s="85" t="s">
        <v>1366</v>
      </c>
      <c r="Y60" s="85">
        <v>0.0</v>
      </c>
      <c r="Z60" s="86" t="s">
        <v>91</v>
      </c>
      <c r="AA60" s="85">
        <v>100000.0</v>
      </c>
      <c r="AB60" s="136" t="s">
        <v>1473</v>
      </c>
      <c r="AC60" s="253" t="s">
        <v>1474</v>
      </c>
    </row>
    <row r="61">
      <c r="A61" s="148">
        <v>59.0</v>
      </c>
      <c r="B61" s="164">
        <v>46148.0</v>
      </c>
      <c r="C61" s="164">
        <v>46149.0</v>
      </c>
      <c r="D61" s="184" t="s">
        <v>1197</v>
      </c>
      <c r="E61" s="154" t="s">
        <v>1198</v>
      </c>
      <c r="F61" s="103">
        <v>114808.3</v>
      </c>
      <c r="G61" s="218">
        <v>29.64</v>
      </c>
      <c r="H61" s="218">
        <v>29.64</v>
      </c>
      <c r="I61" s="155">
        <f t="shared" si="1"/>
        <v>3402918.012</v>
      </c>
      <c r="J61" s="77">
        <f t="shared" si="2"/>
        <v>34029.18012</v>
      </c>
      <c r="K61" s="277"/>
      <c r="L61" s="277"/>
      <c r="M61" s="298">
        <f>ROUND(IF(H61&gt;31,31,H61)*51.42%*F61,-3)</f>
        <v>1750000</v>
      </c>
      <c r="N61" s="95">
        <f t="shared" si="12"/>
        <v>1518888.832</v>
      </c>
      <c r="O61" s="307">
        <f t="shared" si="13"/>
        <v>0.08892</v>
      </c>
      <c r="P61" s="95">
        <f t="shared" si="14"/>
        <v>0</v>
      </c>
      <c r="Q61" s="95">
        <f t="shared" si="15"/>
        <v>0</v>
      </c>
      <c r="R61" s="95">
        <f t="shared" si="16"/>
        <v>0</v>
      </c>
      <c r="S61" s="71" t="s">
        <v>91</v>
      </c>
      <c r="T61" s="166">
        <v>50000.0</v>
      </c>
      <c r="U61" s="244">
        <f t="shared" si="24"/>
        <v>0</v>
      </c>
      <c r="V61" s="85" t="s">
        <v>1366</v>
      </c>
      <c r="W61" s="85" t="s">
        <v>1232</v>
      </c>
      <c r="X61" s="85" t="s">
        <v>1366</v>
      </c>
      <c r="Y61" s="85">
        <v>0.0</v>
      </c>
      <c r="Z61" s="86" t="s">
        <v>91</v>
      </c>
      <c r="AA61" s="187">
        <v>100000.0</v>
      </c>
      <c r="AB61" s="136" t="s">
        <v>1487</v>
      </c>
      <c r="AC61" s="235"/>
      <c r="AD61" s="235"/>
      <c r="AE61" s="145" t="s">
        <v>1490</v>
      </c>
      <c r="AF61" s="92"/>
      <c r="AG61" s="92"/>
    </row>
    <row r="62">
      <c r="A62" s="148">
        <v>60.0</v>
      </c>
      <c r="B62" s="164">
        <v>46150.0</v>
      </c>
      <c r="C62" s="164">
        <v>46152.0</v>
      </c>
      <c r="D62" s="184" t="s">
        <v>1197</v>
      </c>
      <c r="E62" s="154" t="s">
        <v>1198</v>
      </c>
      <c r="F62" s="103">
        <v>114808.3</v>
      </c>
      <c r="G62" s="103">
        <v>31.5</v>
      </c>
      <c r="H62" s="103">
        <v>31.5</v>
      </c>
      <c r="I62" s="155">
        <f t="shared" si="1"/>
        <v>3616461.45</v>
      </c>
      <c r="J62" s="77">
        <f t="shared" si="2"/>
        <v>36164.6145</v>
      </c>
      <c r="K62" s="277"/>
      <c r="L62" s="277"/>
      <c r="M62" s="95">
        <f>ROUND(IF(H62&gt;31,31,H62)*50.562%*F62,-3)</f>
        <v>1800000</v>
      </c>
      <c r="N62" s="95">
        <f t="shared" si="12"/>
        <v>1680296.836</v>
      </c>
      <c r="O62" s="307">
        <f t="shared" si="13"/>
        <v>0.0945</v>
      </c>
      <c r="P62" s="95">
        <f t="shared" si="14"/>
        <v>0</v>
      </c>
      <c r="Q62" s="95">
        <f t="shared" si="15"/>
        <v>0</v>
      </c>
      <c r="R62" s="95">
        <f t="shared" si="16"/>
        <v>0</v>
      </c>
      <c r="S62" s="71" t="s">
        <v>91</v>
      </c>
      <c r="T62" s="166">
        <v>50000.0</v>
      </c>
      <c r="U62" s="244">
        <f t="shared" si="24"/>
        <v>0</v>
      </c>
      <c r="V62" s="85" t="s">
        <v>1366</v>
      </c>
      <c r="W62" s="85" t="s">
        <v>1232</v>
      </c>
      <c r="X62" s="85" t="s">
        <v>1366</v>
      </c>
      <c r="Y62" s="85">
        <v>0.0</v>
      </c>
      <c r="Z62" s="86" t="s">
        <v>91</v>
      </c>
      <c r="AA62" s="187">
        <v>100000.0</v>
      </c>
      <c r="AB62" s="136" t="s">
        <v>1503</v>
      </c>
      <c r="AC62" s="425" t="s">
        <v>1505</v>
      </c>
      <c r="AD62" s="235"/>
      <c r="AE62" s="145" t="s">
        <v>1506</v>
      </c>
      <c r="AF62" s="92"/>
      <c r="AG62" s="92"/>
    </row>
    <row r="63">
      <c r="A63" s="242">
        <v>61.0</v>
      </c>
      <c r="B63" s="164">
        <v>46153.0</v>
      </c>
      <c r="C63" s="164">
        <v>46154.0</v>
      </c>
      <c r="D63" s="165" t="s">
        <v>89</v>
      </c>
      <c r="E63" s="165" t="s">
        <v>1445</v>
      </c>
      <c r="F63" s="86">
        <v>190080.0</v>
      </c>
      <c r="G63" s="218">
        <v>29.4</v>
      </c>
      <c r="H63" s="218">
        <v>29.33</v>
      </c>
      <c r="I63" s="96">
        <f t="shared" si="1"/>
        <v>5575046.4</v>
      </c>
      <c r="J63" s="96">
        <f t="shared" si="2"/>
        <v>55750.464</v>
      </c>
      <c r="K63" s="96"/>
      <c r="L63" s="96"/>
      <c r="M63" s="95">
        <f>ROUND(IF(H63&gt;31,31,H63)*50.22%*F63,-3)</f>
        <v>2800000</v>
      </c>
      <c r="N63" s="95">
        <f t="shared" si="12"/>
        <v>2619295.936</v>
      </c>
      <c r="O63" s="95">
        <f t="shared" si="13"/>
        <v>0.0882</v>
      </c>
      <c r="P63" s="95">
        <f t="shared" si="14"/>
        <v>0.07</v>
      </c>
      <c r="Q63" s="95">
        <f t="shared" si="15"/>
        <v>0</v>
      </c>
      <c r="R63" s="95">
        <f t="shared" si="16"/>
        <v>0</v>
      </c>
      <c r="S63" s="71" t="s">
        <v>91</v>
      </c>
      <c r="T63" s="166">
        <v>50000.0</v>
      </c>
      <c r="U63" s="244">
        <f t="shared" si="24"/>
        <v>0</v>
      </c>
      <c r="V63" s="85" t="s">
        <v>1366</v>
      </c>
      <c r="W63" s="85" t="s">
        <v>1232</v>
      </c>
      <c r="X63" s="85" t="s">
        <v>1366</v>
      </c>
      <c r="Y63" s="85">
        <v>0.0</v>
      </c>
      <c r="Z63" s="86" t="s">
        <v>91</v>
      </c>
      <c r="AA63" s="85">
        <v>100000.0</v>
      </c>
      <c r="AB63" s="136" t="s">
        <v>1514</v>
      </c>
      <c r="AC63" s="253" t="s">
        <v>1474</v>
      </c>
    </row>
    <row r="64">
      <c r="A64" s="242">
        <v>62.0</v>
      </c>
      <c r="B64" s="164">
        <v>46166.0</v>
      </c>
      <c r="C64" s="164">
        <v>46168.0</v>
      </c>
      <c r="D64" s="165" t="s">
        <v>764</v>
      </c>
      <c r="E64" s="165" t="s">
        <v>765</v>
      </c>
      <c r="F64" s="149">
        <v>110246.4</v>
      </c>
      <c r="G64" s="103">
        <v>35.18</v>
      </c>
      <c r="H64" s="103">
        <v>35.12</v>
      </c>
      <c r="I64" s="96">
        <f t="shared" si="1"/>
        <v>3871853.568</v>
      </c>
      <c r="J64" s="96">
        <f t="shared" si="2"/>
        <v>38718.53568</v>
      </c>
      <c r="K64" s="96"/>
      <c r="L64" s="96"/>
      <c r="M64" s="95">
        <f>ROUND(IF(H64&gt;31,31,H64)*52.6679475%*F64,-3)</f>
        <v>1800000</v>
      </c>
      <c r="N64" s="95">
        <f t="shared" si="12"/>
        <v>1733135.032</v>
      </c>
      <c r="O64" s="95">
        <f t="shared" si="13"/>
        <v>0.10554</v>
      </c>
      <c r="P64" s="95">
        <f t="shared" si="14"/>
        <v>0.06</v>
      </c>
      <c r="Q64" s="95">
        <f t="shared" si="15"/>
        <v>0</v>
      </c>
      <c r="R64" s="95">
        <f t="shared" si="16"/>
        <v>0</v>
      </c>
      <c r="S64" s="71" t="s">
        <v>91</v>
      </c>
      <c r="T64" s="166">
        <v>50000.0</v>
      </c>
      <c r="U64" s="244">
        <f>4*T64</f>
        <v>200000</v>
      </c>
      <c r="V64" s="85" t="s">
        <v>1366</v>
      </c>
      <c r="W64" s="85" t="s">
        <v>1232</v>
      </c>
      <c r="X64" s="85" t="s">
        <v>1366</v>
      </c>
      <c r="Y64" s="85">
        <v>0.0</v>
      </c>
      <c r="Z64" s="86" t="s">
        <v>91</v>
      </c>
      <c r="AA64" s="85">
        <v>100000.0</v>
      </c>
      <c r="AB64" s="136" t="s">
        <v>1520</v>
      </c>
      <c r="AC64" s="253" t="s">
        <v>1521</v>
      </c>
    </row>
    <row r="65">
      <c r="A65" s="242">
        <v>63.0</v>
      </c>
      <c r="B65" s="164">
        <v>46170.0</v>
      </c>
      <c r="C65" s="164">
        <v>46173.0</v>
      </c>
      <c r="D65" s="165" t="s">
        <v>89</v>
      </c>
      <c r="E65" s="165" t="s">
        <v>1445</v>
      </c>
      <c r="F65" s="86">
        <v>190080.0</v>
      </c>
      <c r="G65" s="218">
        <v>30.36</v>
      </c>
      <c r="H65" s="218">
        <v>30.36</v>
      </c>
      <c r="I65" s="96">
        <f t="shared" si="1"/>
        <v>5770828.8</v>
      </c>
      <c r="J65" s="96">
        <f t="shared" si="2"/>
        <v>57708.288</v>
      </c>
      <c r="K65" s="96"/>
      <c r="L65" s="96"/>
      <c r="M65" s="95">
        <f>ROUND(IF(H65&gt;31,31,H65)*48.52%*F65,-3)</f>
        <v>2800000</v>
      </c>
      <c r="N65" s="95">
        <f t="shared" si="12"/>
        <v>2763120.512</v>
      </c>
      <c r="O65" s="95">
        <f t="shared" si="13"/>
        <v>0.09108</v>
      </c>
      <c r="P65" s="95">
        <f t="shared" si="14"/>
        <v>0</v>
      </c>
      <c r="Q65" s="95">
        <f t="shared" si="15"/>
        <v>0</v>
      </c>
      <c r="R65" s="95">
        <f t="shared" si="16"/>
        <v>0</v>
      </c>
      <c r="S65" s="71" t="s">
        <v>91</v>
      </c>
      <c r="T65" s="166">
        <v>50000.0</v>
      </c>
      <c r="U65" s="244">
        <f>0*T65</f>
        <v>0</v>
      </c>
      <c r="V65" s="85" t="s">
        <v>1366</v>
      </c>
      <c r="W65" s="85" t="s">
        <v>1232</v>
      </c>
      <c r="X65" s="85" t="s">
        <v>1366</v>
      </c>
      <c r="Y65" s="85">
        <v>50000.0</v>
      </c>
      <c r="Z65" s="313" t="s">
        <v>1531</v>
      </c>
      <c r="AA65" s="85">
        <v>100000.0</v>
      </c>
      <c r="AB65" s="136" t="s">
        <v>1533</v>
      </c>
      <c r="AC65" s="260" t="s">
        <v>1535</v>
      </c>
    </row>
    <row r="66">
      <c r="A66" s="148">
        <v>64.0</v>
      </c>
      <c r="B66" s="164">
        <v>46176.0</v>
      </c>
      <c r="C66" s="164">
        <v>46177.0</v>
      </c>
      <c r="D66" s="184" t="s">
        <v>1197</v>
      </c>
      <c r="E66" s="154" t="s">
        <v>1198</v>
      </c>
      <c r="F66" s="103">
        <v>114808.3</v>
      </c>
      <c r="G66" s="103">
        <v>35.46</v>
      </c>
      <c r="H66" s="103">
        <v>35.46</v>
      </c>
      <c r="I66" s="155">
        <f t="shared" si="1"/>
        <v>4071102.318</v>
      </c>
      <c r="J66" s="77">
        <f t="shared" si="2"/>
        <v>40711.02318</v>
      </c>
      <c r="K66" s="277"/>
      <c r="L66" s="277"/>
      <c r="M66" s="95">
        <f>ROUND(IF(H66&gt;31,31,H66)*50.562%*F66,-3)</f>
        <v>1800000</v>
      </c>
      <c r="N66" s="95">
        <f t="shared" si="12"/>
        <v>1930391.295</v>
      </c>
      <c r="O66" s="307">
        <f t="shared" si="13"/>
        <v>0.10638</v>
      </c>
      <c r="P66" s="95">
        <f t="shared" si="14"/>
        <v>0</v>
      </c>
      <c r="Q66" s="95">
        <f t="shared" si="15"/>
        <v>0</v>
      </c>
      <c r="R66" s="95">
        <f t="shared" si="16"/>
        <v>0</v>
      </c>
      <c r="S66" s="71" t="s">
        <v>91</v>
      </c>
      <c r="T66" s="166">
        <v>50000.0</v>
      </c>
      <c r="U66" s="244">
        <f>4*T66</f>
        <v>200000</v>
      </c>
      <c r="V66" s="85" t="s">
        <v>1366</v>
      </c>
      <c r="W66" s="85" t="s">
        <v>1232</v>
      </c>
      <c r="X66" s="85" t="s">
        <v>1366</v>
      </c>
      <c r="Y66" s="85">
        <v>0.0</v>
      </c>
      <c r="Z66" s="86" t="s">
        <v>91</v>
      </c>
      <c r="AA66" s="187">
        <v>100000.0</v>
      </c>
      <c r="AB66" s="71" t="s">
        <v>1366</v>
      </c>
      <c r="AC66" s="235"/>
      <c r="AD66" s="235"/>
      <c r="AE66" s="145" t="s">
        <v>1554</v>
      </c>
      <c r="AF66" s="92"/>
      <c r="AG66" s="92"/>
    </row>
    <row r="67">
      <c r="A67" s="242">
        <v>65.0</v>
      </c>
      <c r="B67" s="164">
        <v>46178.0</v>
      </c>
      <c r="C67" s="164">
        <v>46179.0</v>
      </c>
      <c r="D67" s="243" t="s">
        <v>54</v>
      </c>
      <c r="E67" s="243" t="s">
        <v>77</v>
      </c>
      <c r="F67" s="86">
        <v>116554.0</v>
      </c>
      <c r="G67" s="103">
        <v>34.04</v>
      </c>
      <c r="H67" s="103">
        <v>34.04</v>
      </c>
      <c r="I67" s="96">
        <f t="shared" si="1"/>
        <v>3967498.16</v>
      </c>
      <c r="J67" s="96">
        <f t="shared" si="2"/>
        <v>39674.9816</v>
      </c>
      <c r="K67" s="96"/>
      <c r="L67" s="96"/>
      <c r="M67" s="95">
        <f>ROUND(IF(H67&gt;31,31,H67)*55.35%*F67,-3)</f>
        <v>2000000</v>
      </c>
      <c r="N67" s="95">
        <f t="shared" si="12"/>
        <v>1757823.178</v>
      </c>
      <c r="O67" s="95">
        <f t="shared" si="13"/>
        <v>0.10212</v>
      </c>
      <c r="P67" s="95">
        <f t="shared" si="14"/>
        <v>0</v>
      </c>
      <c r="Q67" s="95">
        <f t="shared" si="15"/>
        <v>0</v>
      </c>
      <c r="R67" s="95">
        <f t="shared" si="16"/>
        <v>0</v>
      </c>
      <c r="S67" s="71" t="s">
        <v>91</v>
      </c>
      <c r="T67" s="166">
        <v>35000.0</v>
      </c>
      <c r="U67" s="244">
        <f>2*T67</f>
        <v>70000</v>
      </c>
      <c r="V67" s="85" t="s">
        <v>1366</v>
      </c>
      <c r="W67" s="85" t="s">
        <v>1232</v>
      </c>
      <c r="X67" s="85" t="s">
        <v>1366</v>
      </c>
      <c r="Y67" s="85">
        <v>0.0</v>
      </c>
      <c r="Z67" s="86" t="s">
        <v>91</v>
      </c>
      <c r="AA67" s="85">
        <v>100000.0</v>
      </c>
      <c r="AB67" s="71" t="s">
        <v>1366</v>
      </c>
      <c r="AC67" s="215" t="s">
        <v>1568</v>
      </c>
      <c r="AD67" s="270"/>
      <c r="AE67" s="270"/>
    </row>
    <row r="68">
      <c r="A68" s="242">
        <v>66.0</v>
      </c>
      <c r="B68" s="164">
        <v>46183.0</v>
      </c>
      <c r="C68" s="164">
        <v>46186.0</v>
      </c>
      <c r="D68" s="165" t="s">
        <v>89</v>
      </c>
      <c r="E68" s="165" t="s">
        <v>397</v>
      </c>
      <c r="F68" s="86">
        <v>190080.0</v>
      </c>
      <c r="G68" s="218">
        <v>29.72</v>
      </c>
      <c r="H68" s="218">
        <v>29.34</v>
      </c>
      <c r="I68" s="96">
        <f t="shared" si="1"/>
        <v>5576947.2</v>
      </c>
      <c r="J68" s="96">
        <f t="shared" si="2"/>
        <v>55769.472</v>
      </c>
      <c r="K68" s="96"/>
      <c r="L68" s="96"/>
      <c r="M68" s="95">
        <f>ROUND(IF(H68&gt;31,31,H68)*50.2%*F68,-3)</f>
        <v>2800000</v>
      </c>
      <c r="N68" s="95">
        <f t="shared" si="12"/>
        <v>2375757.728</v>
      </c>
      <c r="O68" s="95">
        <f t="shared" si="13"/>
        <v>0.08916</v>
      </c>
      <c r="P68" s="95">
        <f t="shared" si="14"/>
        <v>0.38</v>
      </c>
      <c r="Q68" s="308">
        <f t="shared" si="15"/>
        <v>290840</v>
      </c>
      <c r="R68" s="308">
        <f t="shared" si="16"/>
        <v>145420</v>
      </c>
      <c r="S68" s="71" t="s">
        <v>1196</v>
      </c>
      <c r="T68" s="166">
        <v>50000.0</v>
      </c>
      <c r="U68" s="244">
        <f t="shared" ref="U68:U70" si="25">0*T68</f>
        <v>0</v>
      </c>
      <c r="V68" s="85" t="s">
        <v>1366</v>
      </c>
      <c r="W68" s="85" t="s">
        <v>1232</v>
      </c>
      <c r="X68" s="85" t="s">
        <v>1366</v>
      </c>
      <c r="Y68" s="85">
        <v>100000.0</v>
      </c>
      <c r="Z68" s="313" t="s">
        <v>1573</v>
      </c>
      <c r="AA68" s="85">
        <v>100000.0</v>
      </c>
      <c r="AB68" s="71" t="s">
        <v>1366</v>
      </c>
      <c r="AC68" s="253" t="s">
        <v>1575</v>
      </c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</row>
    <row r="69">
      <c r="A69" s="242">
        <v>67.0</v>
      </c>
      <c r="B69" s="164">
        <v>46187.0</v>
      </c>
      <c r="C69" s="164">
        <v>46188.0</v>
      </c>
      <c r="D69" s="165" t="s">
        <v>764</v>
      </c>
      <c r="E69" s="165" t="s">
        <v>765</v>
      </c>
      <c r="F69" s="149">
        <v>110246.4</v>
      </c>
      <c r="G69" s="218">
        <v>30.5</v>
      </c>
      <c r="H69" s="218">
        <v>30.38</v>
      </c>
      <c r="I69" s="96">
        <f t="shared" si="1"/>
        <v>3349285.632</v>
      </c>
      <c r="J69" s="96">
        <f t="shared" si="2"/>
        <v>33492.85632</v>
      </c>
      <c r="K69" s="455"/>
      <c r="L69" s="455"/>
      <c r="M69" s="298">
        <f>ROUND(IF(H69&gt;31,31,H69)*52.24%*F69,-3)</f>
        <v>1750000</v>
      </c>
      <c r="N69" s="95">
        <f t="shared" si="12"/>
        <v>1451542.776</v>
      </c>
      <c r="O69" s="95">
        <f t="shared" si="13"/>
        <v>0.0915</v>
      </c>
      <c r="P69" s="95">
        <f t="shared" si="14"/>
        <v>0.12</v>
      </c>
      <c r="Q69" s="308">
        <f t="shared" si="15"/>
        <v>28500</v>
      </c>
      <c r="R69" s="308">
        <f t="shared" si="16"/>
        <v>14250</v>
      </c>
      <c r="S69" s="71" t="s">
        <v>1196</v>
      </c>
      <c r="T69" s="166">
        <v>50000.0</v>
      </c>
      <c r="U69" s="244">
        <f t="shared" si="25"/>
        <v>0</v>
      </c>
      <c r="V69" s="85" t="s">
        <v>1366</v>
      </c>
      <c r="W69" s="85" t="s">
        <v>1232</v>
      </c>
      <c r="X69" s="85" t="s">
        <v>1366</v>
      </c>
      <c r="Y69" s="85">
        <v>0.0</v>
      </c>
      <c r="Z69" s="86" t="s">
        <v>91</v>
      </c>
      <c r="AA69" s="85">
        <v>100000.0</v>
      </c>
      <c r="AB69" s="71" t="s">
        <v>1366</v>
      </c>
      <c r="AC69" s="253" t="s">
        <v>1591</v>
      </c>
    </row>
    <row r="70">
      <c r="A70" s="242">
        <v>68.0</v>
      </c>
      <c r="B70" s="164">
        <v>46189.0</v>
      </c>
      <c r="C70" s="164">
        <v>46195.0</v>
      </c>
      <c r="D70" s="165" t="s">
        <v>89</v>
      </c>
      <c r="E70" s="165" t="s">
        <v>1445</v>
      </c>
      <c r="F70" s="86">
        <v>190080.0</v>
      </c>
      <c r="G70" s="218">
        <v>29.9</v>
      </c>
      <c r="H70" s="218">
        <v>29.69</v>
      </c>
      <c r="I70" s="96">
        <f t="shared" si="1"/>
        <v>5643475.2</v>
      </c>
      <c r="J70" s="287">
        <f t="shared" si="2"/>
        <v>56434.752</v>
      </c>
      <c r="K70" s="79"/>
      <c r="L70" s="79"/>
      <c r="M70" s="458">
        <f>ROUND(IF(H70&gt;31,31,H70)*49.61%*F70,-3)</f>
        <v>2800000</v>
      </c>
      <c r="N70" s="95">
        <f t="shared" si="12"/>
        <v>2376890.448</v>
      </c>
      <c r="O70" s="95">
        <f t="shared" si="13"/>
        <v>0.0897</v>
      </c>
      <c r="P70" s="95">
        <f t="shared" si="14"/>
        <v>0.21</v>
      </c>
      <c r="Q70" s="308">
        <f t="shared" si="15"/>
        <v>120300</v>
      </c>
      <c r="R70" s="308">
        <f t="shared" si="16"/>
        <v>60150</v>
      </c>
      <c r="S70" s="71" t="s">
        <v>1196</v>
      </c>
      <c r="T70" s="166">
        <v>50000.0</v>
      </c>
      <c r="U70" s="244">
        <f t="shared" si="25"/>
        <v>0</v>
      </c>
      <c r="V70" s="85" t="s">
        <v>1366</v>
      </c>
      <c r="W70" s="85" t="s">
        <v>1232</v>
      </c>
      <c r="X70" s="85" t="s">
        <v>1366</v>
      </c>
      <c r="Y70" s="85">
        <v>250000.0</v>
      </c>
      <c r="Z70" s="313" t="s">
        <v>1597</v>
      </c>
      <c r="AA70" s="85">
        <v>100000.0</v>
      </c>
      <c r="AB70" s="71" t="s">
        <v>1366</v>
      </c>
      <c r="AC70" s="253" t="s">
        <v>1601</v>
      </c>
    </row>
    <row r="71">
      <c r="A71" s="148">
        <v>69.0</v>
      </c>
      <c r="B71" s="164">
        <v>46197.0</v>
      </c>
      <c r="C71" s="164">
        <v>46198.0</v>
      </c>
      <c r="D71" s="184" t="s">
        <v>1197</v>
      </c>
      <c r="E71" s="154" t="s">
        <v>1198</v>
      </c>
      <c r="F71" s="103">
        <v>114808.3</v>
      </c>
      <c r="G71" s="103">
        <v>31.96</v>
      </c>
      <c r="H71" s="103">
        <v>31.96</v>
      </c>
      <c r="I71" s="155">
        <f t="shared" si="1"/>
        <v>3669273.268</v>
      </c>
      <c r="J71" s="77">
        <f t="shared" si="2"/>
        <v>36692.73268</v>
      </c>
      <c r="K71" s="79"/>
      <c r="L71" s="79"/>
      <c r="M71" s="458">
        <f>ROUND(IF(H71&gt;31,31,H71)*50.562%*F71,-3)</f>
        <v>1800000</v>
      </c>
      <c r="N71" s="95">
        <f t="shared" si="12"/>
        <v>1682580.535</v>
      </c>
      <c r="O71" s="307">
        <f t="shared" si="13"/>
        <v>0.09588</v>
      </c>
      <c r="P71" s="95">
        <f t="shared" si="14"/>
        <v>0</v>
      </c>
      <c r="Q71" s="95">
        <f t="shared" si="15"/>
        <v>0</v>
      </c>
      <c r="R71" s="95">
        <f t="shared" si="16"/>
        <v>0</v>
      </c>
      <c r="S71" s="71" t="s">
        <v>91</v>
      </c>
      <c r="T71" s="166">
        <v>50000.0</v>
      </c>
      <c r="U71" s="244">
        <f>1*T71</f>
        <v>50000</v>
      </c>
      <c r="V71" s="85" t="s">
        <v>1366</v>
      </c>
      <c r="W71" s="85" t="s">
        <v>1232</v>
      </c>
      <c r="X71" s="85" t="s">
        <v>1366</v>
      </c>
      <c r="Y71" s="85">
        <v>0.0</v>
      </c>
      <c r="Z71" s="86" t="s">
        <v>91</v>
      </c>
      <c r="AA71" s="187">
        <v>100000.0</v>
      </c>
      <c r="AB71" s="71" t="s">
        <v>1366</v>
      </c>
      <c r="AC71" s="215"/>
      <c r="AD71" s="235"/>
      <c r="AE71" s="145" t="s">
        <v>1609</v>
      </c>
      <c r="AF71" s="92"/>
      <c r="AG71" s="92"/>
    </row>
    <row r="72">
      <c r="A72" s="242">
        <v>70.0</v>
      </c>
      <c r="B72" s="164">
        <v>46200.0</v>
      </c>
      <c r="C72" s="164">
        <v>46203.0</v>
      </c>
      <c r="D72" s="243" t="s">
        <v>54</v>
      </c>
      <c r="E72" s="243" t="s">
        <v>77</v>
      </c>
      <c r="F72" s="86">
        <v>116554.0</v>
      </c>
      <c r="G72" s="103">
        <v>32.26</v>
      </c>
      <c r="H72" s="103">
        <v>32.26</v>
      </c>
      <c r="I72" s="96">
        <f t="shared" si="1"/>
        <v>3760032.04</v>
      </c>
      <c r="J72" s="287">
        <f t="shared" si="2"/>
        <v>37600.3204</v>
      </c>
      <c r="K72" s="79"/>
      <c r="L72" s="79"/>
      <c r="M72" s="458">
        <f>ROUND(IF(H72&gt;31,31,H72)*55.35%*F72,-3)</f>
        <v>2000000</v>
      </c>
      <c r="N72" s="95">
        <f t="shared" si="12"/>
        <v>1572431.72</v>
      </c>
      <c r="O72" s="95">
        <f t="shared" si="13"/>
        <v>0.09678</v>
      </c>
      <c r="P72" s="95">
        <f t="shared" si="14"/>
        <v>0</v>
      </c>
      <c r="Q72" s="95">
        <f t="shared" si="15"/>
        <v>0</v>
      </c>
      <c r="R72" s="95">
        <f t="shared" si="16"/>
        <v>0</v>
      </c>
      <c r="S72" s="71" t="s">
        <v>91</v>
      </c>
      <c r="T72" s="166">
        <v>35000.0</v>
      </c>
      <c r="U72" s="244">
        <f>0*T72</f>
        <v>0</v>
      </c>
      <c r="V72" s="85" t="s">
        <v>1366</v>
      </c>
      <c r="W72" s="85">
        <v>100000.0</v>
      </c>
      <c r="X72" s="85" t="s">
        <v>1366</v>
      </c>
      <c r="Y72" s="85">
        <v>50000.0</v>
      </c>
      <c r="Z72" s="313" t="s">
        <v>1623</v>
      </c>
      <c r="AA72" s="85">
        <v>100000.0</v>
      </c>
      <c r="AB72" s="71" t="s">
        <v>1366</v>
      </c>
      <c r="AC72" s="215" t="s">
        <v>1568</v>
      </c>
      <c r="AD72" s="270"/>
      <c r="AE72" s="270"/>
    </row>
    <row r="73">
      <c r="A73" s="242">
        <v>71.0</v>
      </c>
      <c r="B73" s="164">
        <v>46204.0</v>
      </c>
      <c r="C73" s="164">
        <v>46205.0</v>
      </c>
      <c r="D73" s="466" t="s">
        <v>256</v>
      </c>
      <c r="E73" s="466" t="s">
        <v>1626</v>
      </c>
      <c r="F73" s="86">
        <v>163410.0</v>
      </c>
      <c r="G73" s="103">
        <v>32.52</v>
      </c>
      <c r="H73" s="103">
        <v>32.52</v>
      </c>
      <c r="I73" s="96">
        <f t="shared" si="1"/>
        <v>5314093.2</v>
      </c>
      <c r="J73" s="467"/>
      <c r="K73" s="405"/>
      <c r="L73" s="471">
        <f>M73*0.05</f>
        <v>135000</v>
      </c>
      <c r="M73" s="95">
        <f>ROUND(IF(H73&gt;31,31,H73)*53.3%*F73,-3)</f>
        <v>2700000</v>
      </c>
      <c r="N73" s="95">
        <f t="shared" ref="N73:N83" si="26">I73-M73-R73-U73-J73-Y73-AA73-K73-L73</f>
        <v>2329093.2</v>
      </c>
      <c r="O73" s="95">
        <f t="shared" si="13"/>
        <v>0.09756</v>
      </c>
      <c r="P73" s="95">
        <f t="shared" si="14"/>
        <v>0</v>
      </c>
      <c r="Q73" s="95">
        <f t="shared" si="15"/>
        <v>0</v>
      </c>
      <c r="R73" s="95">
        <f t="shared" si="16"/>
        <v>0</v>
      </c>
      <c r="S73" s="71" t="s">
        <v>91</v>
      </c>
      <c r="T73" s="166">
        <v>50000.0</v>
      </c>
      <c r="U73" s="244">
        <f>1*T73</f>
        <v>50000</v>
      </c>
      <c r="V73" s="85" t="s">
        <v>1366</v>
      </c>
      <c r="W73" s="85" t="s">
        <v>1232</v>
      </c>
      <c r="X73" s="85" t="s">
        <v>1366</v>
      </c>
      <c r="Y73" s="85">
        <v>0.0</v>
      </c>
      <c r="Z73" s="86" t="s">
        <v>91</v>
      </c>
      <c r="AA73" s="85">
        <v>100000.0</v>
      </c>
      <c r="AB73" s="71" t="s">
        <v>1366</v>
      </c>
      <c r="AC73" s="215"/>
      <c r="AD73" s="270"/>
      <c r="AE73" s="270"/>
    </row>
    <row r="74">
      <c r="A74" s="242">
        <v>72.0</v>
      </c>
      <c r="B74" s="164">
        <v>46207.0</v>
      </c>
      <c r="C74" s="164">
        <v>46210.0</v>
      </c>
      <c r="D74" s="243" t="s">
        <v>54</v>
      </c>
      <c r="E74" s="243" t="s">
        <v>77</v>
      </c>
      <c r="F74" s="86">
        <v>116554.0</v>
      </c>
      <c r="G74" s="103">
        <v>32.52</v>
      </c>
      <c r="H74" s="103">
        <v>32.52</v>
      </c>
      <c r="I74" s="96">
        <f t="shared" si="1"/>
        <v>3790336.08</v>
      </c>
      <c r="J74" s="96">
        <f>I74*0.01</f>
        <v>37903.3608</v>
      </c>
      <c r="K74" s="96"/>
      <c r="L74" s="96"/>
      <c r="M74" s="95">
        <f>ROUND(IF(H74&gt;31,31,H74)*55.35%*F74,-3)</f>
        <v>2000000</v>
      </c>
      <c r="N74" s="95">
        <f t="shared" si="26"/>
        <v>1602432.719</v>
      </c>
      <c r="O74" s="95">
        <f t="shared" si="13"/>
        <v>0.09756</v>
      </c>
      <c r="P74" s="95">
        <f t="shared" si="14"/>
        <v>0</v>
      </c>
      <c r="Q74" s="95">
        <f t="shared" si="15"/>
        <v>0</v>
      </c>
      <c r="R74" s="95">
        <f t="shared" si="16"/>
        <v>0</v>
      </c>
      <c r="S74" s="71" t="s">
        <v>91</v>
      </c>
      <c r="T74" s="166">
        <v>35000.0</v>
      </c>
      <c r="U74" s="244">
        <f t="shared" ref="U74:U79" si="27">0*T74</f>
        <v>0</v>
      </c>
      <c r="V74" s="85" t="s">
        <v>1366</v>
      </c>
      <c r="W74" s="85">
        <v>100000.0</v>
      </c>
      <c r="X74" s="85" t="s">
        <v>1366</v>
      </c>
      <c r="Y74" s="85">
        <v>50000.0</v>
      </c>
      <c r="Z74" s="313" t="s">
        <v>1660</v>
      </c>
      <c r="AA74" s="85">
        <v>100000.0</v>
      </c>
      <c r="AB74" s="71" t="s">
        <v>1366</v>
      </c>
      <c r="AC74" s="215" t="s">
        <v>1568</v>
      </c>
      <c r="AD74" s="270"/>
      <c r="AE74" s="270"/>
    </row>
    <row r="75">
      <c r="A75" s="242">
        <v>73.0</v>
      </c>
      <c r="B75" s="164">
        <v>46210.0</v>
      </c>
      <c r="C75" s="164">
        <v>46213.0</v>
      </c>
      <c r="D75" s="466" t="s">
        <v>268</v>
      </c>
      <c r="E75" s="466" t="s">
        <v>1665</v>
      </c>
      <c r="F75" s="86">
        <v>165360.0</v>
      </c>
      <c r="G75" s="218">
        <v>29.4</v>
      </c>
      <c r="H75" s="218">
        <v>29.54</v>
      </c>
      <c r="I75" s="96">
        <f t="shared" si="1"/>
        <v>4884734.4</v>
      </c>
      <c r="J75" s="467"/>
      <c r="K75" s="96"/>
      <c r="L75" s="476">
        <f>M75*0.07</f>
        <v>199500</v>
      </c>
      <c r="M75" s="298">
        <f>ROUND(IF(H75&gt;31,31,H75)*58.335%*F75,-3)</f>
        <v>2850000</v>
      </c>
      <c r="N75" s="95">
        <f t="shared" si="26"/>
        <v>1685234.4</v>
      </c>
      <c r="O75" s="95">
        <f t="shared" si="13"/>
        <v>0.0882</v>
      </c>
      <c r="P75" s="95">
        <f t="shared" si="14"/>
        <v>-0.14</v>
      </c>
      <c r="Q75" s="95">
        <f t="shared" si="15"/>
        <v>0</v>
      </c>
      <c r="R75" s="95">
        <f t="shared" si="16"/>
        <v>0</v>
      </c>
      <c r="S75" s="71" t="s">
        <v>91</v>
      </c>
      <c r="T75" s="166">
        <v>50000.0</v>
      </c>
      <c r="U75" s="244">
        <f t="shared" si="27"/>
        <v>0</v>
      </c>
      <c r="V75" s="85" t="s">
        <v>1366</v>
      </c>
      <c r="W75" s="85" t="s">
        <v>1232</v>
      </c>
      <c r="X75" s="85" t="s">
        <v>1366</v>
      </c>
      <c r="Y75" s="85">
        <v>50000.0</v>
      </c>
      <c r="Z75" s="313" t="s">
        <v>1685</v>
      </c>
      <c r="AA75" s="85">
        <v>100000.0</v>
      </c>
      <c r="AB75" s="71" t="s">
        <v>1366</v>
      </c>
      <c r="AC75" s="481" t="s">
        <v>1687</v>
      </c>
      <c r="AD75" s="270"/>
      <c r="AE75" s="270"/>
    </row>
    <row r="76">
      <c r="A76" s="242">
        <v>74.0</v>
      </c>
      <c r="B76" s="164">
        <v>46216.0</v>
      </c>
      <c r="C76" s="164">
        <v>46217.0</v>
      </c>
      <c r="D76" s="165" t="s">
        <v>99</v>
      </c>
      <c r="E76" s="165" t="s">
        <v>1431</v>
      </c>
      <c r="F76" s="86">
        <v>166925.0</v>
      </c>
      <c r="G76" s="218">
        <v>28.78</v>
      </c>
      <c r="H76" s="218">
        <v>28.52</v>
      </c>
      <c r="I76" s="96">
        <f t="shared" si="1"/>
        <v>4760701</v>
      </c>
      <c r="J76" s="96">
        <f t="shared" ref="J76:J83" si="28">I76*0.01</f>
        <v>47607.01</v>
      </c>
      <c r="K76" s="96"/>
      <c r="L76" s="96"/>
      <c r="M76" s="298">
        <f>ROUND(IF(H76&gt;31,31,H76)*58.81%*F76,-3)</f>
        <v>2800000</v>
      </c>
      <c r="N76" s="95">
        <f t="shared" si="26"/>
        <v>1726263.99</v>
      </c>
      <c r="O76" s="95">
        <f t="shared" si="13"/>
        <v>0.08634</v>
      </c>
      <c r="P76" s="95">
        <f t="shared" si="14"/>
        <v>0.26</v>
      </c>
      <c r="Q76" s="308">
        <f t="shared" si="15"/>
        <v>173660</v>
      </c>
      <c r="R76" s="308">
        <f t="shared" si="16"/>
        <v>86830</v>
      </c>
      <c r="S76" s="71" t="s">
        <v>1196</v>
      </c>
      <c r="T76" s="166">
        <v>50000.0</v>
      </c>
      <c r="U76" s="244">
        <f t="shared" si="27"/>
        <v>0</v>
      </c>
      <c r="V76" s="85" t="s">
        <v>1366</v>
      </c>
      <c r="W76" s="85" t="s">
        <v>1232</v>
      </c>
      <c r="X76" s="85" t="s">
        <v>1366</v>
      </c>
      <c r="Y76" s="85">
        <v>0.0</v>
      </c>
      <c r="Z76" s="86" t="s">
        <v>91</v>
      </c>
      <c r="AA76" s="85">
        <v>100000.0</v>
      </c>
      <c r="AB76" s="71" t="s">
        <v>1366</v>
      </c>
      <c r="AC76" s="215" t="s">
        <v>1702</v>
      </c>
      <c r="AD76" s="270"/>
      <c r="AE76" s="270"/>
    </row>
    <row r="77">
      <c r="A77" s="242">
        <v>75.0</v>
      </c>
      <c r="B77" s="164">
        <v>46219.0</v>
      </c>
      <c r="C77" s="164">
        <v>46222.0</v>
      </c>
      <c r="D77" s="165" t="s">
        <v>89</v>
      </c>
      <c r="E77" s="165" t="s">
        <v>1445</v>
      </c>
      <c r="F77" s="86">
        <v>190080.0</v>
      </c>
      <c r="G77" s="218">
        <v>30.52</v>
      </c>
      <c r="H77" s="218">
        <v>30.26</v>
      </c>
      <c r="I77" s="96">
        <f t="shared" si="1"/>
        <v>5751820.8</v>
      </c>
      <c r="J77" s="96">
        <f t="shared" si="28"/>
        <v>57518.208</v>
      </c>
      <c r="K77" s="96"/>
      <c r="L77" s="96"/>
      <c r="M77" s="95">
        <f>ROUND(IF(H77&gt;31,31,H77)*48.68%*F77,-3)</f>
        <v>2800000</v>
      </c>
      <c r="N77" s="95">
        <f t="shared" si="26"/>
        <v>2660082.592</v>
      </c>
      <c r="O77" s="95">
        <f t="shared" si="13"/>
        <v>0.09156</v>
      </c>
      <c r="P77" s="95">
        <f t="shared" si="14"/>
        <v>0.26</v>
      </c>
      <c r="Q77" s="308">
        <f t="shared" si="15"/>
        <v>168440</v>
      </c>
      <c r="R77" s="308">
        <f t="shared" si="16"/>
        <v>84220</v>
      </c>
      <c r="S77" s="71" t="s">
        <v>1196</v>
      </c>
      <c r="T77" s="166">
        <v>50000.0</v>
      </c>
      <c r="U77" s="244">
        <f t="shared" si="27"/>
        <v>0</v>
      </c>
      <c r="V77" s="85" t="s">
        <v>1366</v>
      </c>
      <c r="W77" s="85" t="s">
        <v>1232</v>
      </c>
      <c r="X77" s="85" t="s">
        <v>1366</v>
      </c>
      <c r="Y77" s="85">
        <v>50000.0</v>
      </c>
      <c r="Z77" s="313" t="s">
        <v>1723</v>
      </c>
      <c r="AA77" s="85">
        <v>100000.0</v>
      </c>
      <c r="AB77" s="71" t="s">
        <v>1366</v>
      </c>
      <c r="AC77" s="253" t="s">
        <v>1601</v>
      </c>
    </row>
    <row r="78">
      <c r="A78" s="242">
        <v>76.0</v>
      </c>
      <c r="B78" s="164">
        <v>46223.0</v>
      </c>
      <c r="C78" s="164">
        <v>46226.0</v>
      </c>
      <c r="D78" s="243" t="s">
        <v>54</v>
      </c>
      <c r="E78" s="243" t="s">
        <v>77</v>
      </c>
      <c r="F78" s="86">
        <v>116554.0</v>
      </c>
      <c r="G78" s="103">
        <v>32.58</v>
      </c>
      <c r="H78" s="103">
        <v>32.58</v>
      </c>
      <c r="I78" s="96">
        <f t="shared" si="1"/>
        <v>3797329.32</v>
      </c>
      <c r="J78" s="96">
        <f t="shared" si="28"/>
        <v>37973.2932</v>
      </c>
      <c r="K78" s="96"/>
      <c r="L78" s="96"/>
      <c r="M78" s="95">
        <f>ROUND(IF(H78&gt;31,31,H78)*55.35%*F78,-3)</f>
        <v>2000000</v>
      </c>
      <c r="N78" s="95">
        <f t="shared" si="26"/>
        <v>1609356.027</v>
      </c>
      <c r="O78" s="95">
        <f t="shared" si="13"/>
        <v>0.09774</v>
      </c>
      <c r="P78" s="95">
        <f t="shared" si="14"/>
        <v>0</v>
      </c>
      <c r="Q78" s="95">
        <f t="shared" si="15"/>
        <v>0</v>
      </c>
      <c r="R78" s="95">
        <f t="shared" si="16"/>
        <v>0</v>
      </c>
      <c r="S78" s="71" t="s">
        <v>91</v>
      </c>
      <c r="T78" s="166">
        <v>35000.0</v>
      </c>
      <c r="U78" s="244">
        <f t="shared" si="27"/>
        <v>0</v>
      </c>
      <c r="V78" s="85" t="s">
        <v>1366</v>
      </c>
      <c r="W78" s="85">
        <v>100000.0</v>
      </c>
      <c r="X78" s="85" t="s">
        <v>1366</v>
      </c>
      <c r="Y78" s="85">
        <v>50000.0</v>
      </c>
      <c r="Z78" s="313" t="s">
        <v>1743</v>
      </c>
      <c r="AA78" s="85">
        <v>100000.0</v>
      </c>
      <c r="AB78" s="71" t="s">
        <v>1366</v>
      </c>
      <c r="AC78" s="215" t="s">
        <v>1568</v>
      </c>
      <c r="AD78" s="270"/>
      <c r="AE78" s="270"/>
    </row>
    <row r="79">
      <c r="A79" s="242">
        <v>77.0</v>
      </c>
      <c r="B79" s="164">
        <v>46227.0</v>
      </c>
      <c r="C79" s="164">
        <v>46229.0</v>
      </c>
      <c r="D79" s="243" t="s">
        <v>54</v>
      </c>
      <c r="E79" s="165" t="s">
        <v>565</v>
      </c>
      <c r="F79" s="86">
        <v>116554.0</v>
      </c>
      <c r="G79" s="218">
        <v>29.76</v>
      </c>
      <c r="H79" s="218">
        <v>29.53</v>
      </c>
      <c r="I79" s="96">
        <f t="shared" si="1"/>
        <v>3441839.62</v>
      </c>
      <c r="J79" s="96">
        <f t="shared" si="28"/>
        <v>34418.3962</v>
      </c>
      <c r="K79" s="96"/>
      <c r="L79" s="96"/>
      <c r="M79" s="298">
        <f>ROUND(IF(H79&gt;31,31,H79)*50.84%*F79,-3)</f>
        <v>1750000</v>
      </c>
      <c r="N79" s="95">
        <f t="shared" si="26"/>
        <v>1487061.224</v>
      </c>
      <c r="O79" s="95">
        <f t="shared" si="13"/>
        <v>0.08928</v>
      </c>
      <c r="P79" s="95">
        <f t="shared" si="14"/>
        <v>0.23</v>
      </c>
      <c r="Q79" s="308">
        <f t="shared" si="15"/>
        <v>140720</v>
      </c>
      <c r="R79" s="308">
        <f t="shared" si="16"/>
        <v>70360</v>
      </c>
      <c r="S79" s="71" t="s">
        <v>1196</v>
      </c>
      <c r="T79" s="166">
        <v>50000.0</v>
      </c>
      <c r="U79" s="244">
        <f t="shared" si="27"/>
        <v>0</v>
      </c>
      <c r="V79" s="85" t="s">
        <v>1366</v>
      </c>
      <c r="W79" s="85">
        <v>100000.0</v>
      </c>
      <c r="X79" s="85" t="s">
        <v>1366</v>
      </c>
      <c r="Y79" s="85">
        <v>0.0</v>
      </c>
      <c r="Z79" s="86" t="s">
        <v>91</v>
      </c>
      <c r="AA79" s="85">
        <v>100000.0</v>
      </c>
      <c r="AB79" s="71" t="s">
        <v>1366</v>
      </c>
      <c r="AC79" s="253" t="s">
        <v>1755</v>
      </c>
    </row>
    <row r="80">
      <c r="A80" s="242">
        <v>78.0</v>
      </c>
      <c r="B80" s="164">
        <v>46231.0</v>
      </c>
      <c r="C80" s="164">
        <v>46233.0</v>
      </c>
      <c r="D80" s="243" t="s">
        <v>54</v>
      </c>
      <c r="E80" s="243" t="s">
        <v>77</v>
      </c>
      <c r="F80" s="86">
        <v>116554.0</v>
      </c>
      <c r="G80" s="103">
        <v>34.5</v>
      </c>
      <c r="H80" s="103">
        <v>34.5</v>
      </c>
      <c r="I80" s="96">
        <f t="shared" si="1"/>
        <v>4021113</v>
      </c>
      <c r="J80" s="96">
        <f t="shared" si="28"/>
        <v>40211.13</v>
      </c>
      <c r="K80" s="96"/>
      <c r="L80" s="96"/>
      <c r="M80" s="95">
        <f>ROUND(IF(H80&gt;31,31,H80)*55.35%*F80,-3)</f>
        <v>2000000</v>
      </c>
      <c r="N80" s="95">
        <f t="shared" si="26"/>
        <v>1810901.87</v>
      </c>
      <c r="O80" s="95">
        <f t="shared" si="13"/>
        <v>0.1035</v>
      </c>
      <c r="P80" s="95">
        <f t="shared" si="14"/>
        <v>0</v>
      </c>
      <c r="Q80" s="95">
        <f t="shared" si="15"/>
        <v>0</v>
      </c>
      <c r="R80" s="95">
        <f t="shared" si="16"/>
        <v>0</v>
      </c>
      <c r="S80" s="71" t="s">
        <v>91</v>
      </c>
      <c r="T80" s="166">
        <v>35000.0</v>
      </c>
      <c r="U80" s="244">
        <f>2*T80</f>
        <v>70000</v>
      </c>
      <c r="V80" s="85" t="s">
        <v>1366</v>
      </c>
      <c r="W80" s="85">
        <v>100000.0</v>
      </c>
      <c r="X80" s="85" t="s">
        <v>1366</v>
      </c>
      <c r="Y80" s="85">
        <v>0.0</v>
      </c>
      <c r="Z80" s="86" t="s">
        <v>91</v>
      </c>
      <c r="AA80" s="85">
        <v>100000.0</v>
      </c>
      <c r="AB80" s="71" t="s">
        <v>1366</v>
      </c>
      <c r="AC80" s="215" t="s">
        <v>1568</v>
      </c>
      <c r="AD80" s="270"/>
      <c r="AE80" s="270"/>
    </row>
    <row r="81">
      <c r="A81" s="242">
        <v>79.0</v>
      </c>
      <c r="B81" s="164">
        <v>46234.0</v>
      </c>
      <c r="C81" s="164">
        <v>46237.0</v>
      </c>
      <c r="D81" s="243" t="s">
        <v>54</v>
      </c>
      <c r="E81" s="165" t="s">
        <v>565</v>
      </c>
      <c r="F81" s="86">
        <v>116554.0</v>
      </c>
      <c r="G81" s="218">
        <v>31.04</v>
      </c>
      <c r="H81" s="218">
        <v>30.94</v>
      </c>
      <c r="I81" s="96">
        <f t="shared" si="1"/>
        <v>3606180.76</v>
      </c>
      <c r="J81" s="96">
        <f t="shared" si="28"/>
        <v>36061.8076</v>
      </c>
      <c r="K81" s="96"/>
      <c r="L81" s="96"/>
      <c r="M81" s="95">
        <f>ROUND(IF(H81&gt;31,31,H81)*52.7%*F81,-3)</f>
        <v>1900000</v>
      </c>
      <c r="N81" s="95">
        <f t="shared" si="26"/>
        <v>1566678.952</v>
      </c>
      <c r="O81" s="95">
        <f t="shared" si="13"/>
        <v>0.09312</v>
      </c>
      <c r="P81" s="95">
        <f t="shared" si="14"/>
        <v>0.1</v>
      </c>
      <c r="Q81" s="308">
        <f t="shared" si="15"/>
        <v>6880</v>
      </c>
      <c r="R81" s="308">
        <f t="shared" si="16"/>
        <v>3440</v>
      </c>
      <c r="S81" s="71" t="s">
        <v>1196</v>
      </c>
      <c r="T81" s="166">
        <v>50000.0</v>
      </c>
      <c r="U81" s="244">
        <f t="shared" ref="U81:U83" si="29">0*T81</f>
        <v>0</v>
      </c>
      <c r="V81" s="85" t="s">
        <v>1366</v>
      </c>
      <c r="W81" s="85">
        <v>100000.0</v>
      </c>
      <c r="X81" s="85" t="s">
        <v>1366</v>
      </c>
      <c r="Y81" s="85">
        <v>0.0</v>
      </c>
      <c r="Z81" s="86" t="s">
        <v>91</v>
      </c>
      <c r="AA81" s="85">
        <v>100000.0</v>
      </c>
      <c r="AB81" s="71" t="s">
        <v>1366</v>
      </c>
      <c r="AC81" s="253" t="s">
        <v>1794</v>
      </c>
    </row>
    <row r="82">
      <c r="A82" s="242">
        <v>75.0</v>
      </c>
      <c r="B82" s="164">
        <v>46238.0</v>
      </c>
      <c r="C82" s="164">
        <v>46240.0</v>
      </c>
      <c r="D82" s="165" t="s">
        <v>89</v>
      </c>
      <c r="E82" s="165" t="s">
        <v>1445</v>
      </c>
      <c r="F82" s="86">
        <v>190080.0</v>
      </c>
      <c r="G82" s="218">
        <v>29.74</v>
      </c>
      <c r="H82" s="218">
        <v>29.74</v>
      </c>
      <c r="I82" s="96">
        <f t="shared" si="1"/>
        <v>5652979.2</v>
      </c>
      <c r="J82" s="96">
        <f t="shared" si="28"/>
        <v>56529.792</v>
      </c>
      <c r="K82" s="96"/>
      <c r="L82" s="96"/>
      <c r="M82" s="298">
        <f>ROUND(IF(H82&gt;31,31,H82)*48.64%*F82,-3)</f>
        <v>2750000</v>
      </c>
      <c r="N82" s="95">
        <f t="shared" si="26"/>
        <v>2696449.408</v>
      </c>
      <c r="O82" s="95">
        <f t="shared" si="13"/>
        <v>0.08922</v>
      </c>
      <c r="P82" s="95">
        <f t="shared" si="14"/>
        <v>0</v>
      </c>
      <c r="Q82" s="95">
        <f t="shared" si="15"/>
        <v>0</v>
      </c>
      <c r="R82" s="95">
        <f t="shared" si="16"/>
        <v>0</v>
      </c>
      <c r="S82" s="71" t="s">
        <v>91</v>
      </c>
      <c r="T82" s="166">
        <v>50000.0</v>
      </c>
      <c r="U82" s="244">
        <f t="shared" si="29"/>
        <v>0</v>
      </c>
      <c r="V82" s="85" t="s">
        <v>1366</v>
      </c>
      <c r="W82" s="85" t="s">
        <v>1232</v>
      </c>
      <c r="X82" s="85" t="s">
        <v>1366</v>
      </c>
      <c r="Y82" s="85">
        <v>50000.0</v>
      </c>
      <c r="Z82" s="313" t="s">
        <v>1815</v>
      </c>
      <c r="AA82" s="85">
        <v>100000.0</v>
      </c>
      <c r="AB82" s="71" t="s">
        <v>1366</v>
      </c>
      <c r="AC82" s="260" t="s">
        <v>1816</v>
      </c>
    </row>
    <row r="83">
      <c r="A83" s="242">
        <v>79.0</v>
      </c>
      <c r="B83" s="164">
        <v>46242.0</v>
      </c>
      <c r="C83" s="164"/>
      <c r="D83" s="243" t="s">
        <v>54</v>
      </c>
      <c r="E83" s="165" t="s">
        <v>565</v>
      </c>
      <c r="F83" s="86">
        <v>116554.0</v>
      </c>
      <c r="G83" s="218">
        <v>30.48</v>
      </c>
      <c r="H83" s="218">
        <v>30.48</v>
      </c>
      <c r="I83" s="96">
        <f t="shared" si="1"/>
        <v>3552565.92</v>
      </c>
      <c r="J83" s="96">
        <f t="shared" si="28"/>
        <v>35525.6592</v>
      </c>
      <c r="K83" s="96"/>
      <c r="L83" s="96"/>
      <c r="M83" s="95">
        <f>ROUND(IF(H83&gt;31,31,H83)*53.47%*F83,-3)</f>
        <v>1900000</v>
      </c>
      <c r="N83" s="95">
        <f t="shared" si="26"/>
        <v>1517040.261</v>
      </c>
      <c r="O83" s="95">
        <f t="shared" si="13"/>
        <v>0.09144</v>
      </c>
      <c r="P83" s="95">
        <f t="shared" si="14"/>
        <v>0</v>
      </c>
      <c r="Q83" s="95">
        <f t="shared" si="15"/>
        <v>0</v>
      </c>
      <c r="R83" s="95">
        <f t="shared" si="16"/>
        <v>0</v>
      </c>
      <c r="S83" s="71" t="s">
        <v>91</v>
      </c>
      <c r="T83" s="166">
        <v>50000.0</v>
      </c>
      <c r="U83" s="244">
        <f t="shared" si="29"/>
        <v>0</v>
      </c>
      <c r="V83" s="85" t="s">
        <v>1366</v>
      </c>
      <c r="W83" s="85" t="s">
        <v>1232</v>
      </c>
      <c r="X83" s="85" t="s">
        <v>1366</v>
      </c>
      <c r="Y83" s="85">
        <v>0.0</v>
      </c>
      <c r="Z83" s="86" t="s">
        <v>91</v>
      </c>
      <c r="AA83" s="85">
        <v>100000.0</v>
      </c>
      <c r="AB83" s="71" t="s">
        <v>1366</v>
      </c>
      <c r="AC83" s="361" t="s">
        <v>1822</v>
      </c>
    </row>
    <row r="84">
      <c r="A84" s="242"/>
      <c r="B84" s="164"/>
      <c r="C84" s="164"/>
      <c r="D84" s="165"/>
      <c r="E84" s="165"/>
      <c r="F84" s="149"/>
      <c r="G84" s="103"/>
      <c r="H84" s="103"/>
      <c r="I84" s="96"/>
      <c r="J84" s="96"/>
      <c r="K84" s="96"/>
      <c r="L84" s="96"/>
      <c r="M84" s="95"/>
      <c r="N84" s="95"/>
      <c r="O84" s="95"/>
      <c r="P84" s="95"/>
      <c r="Q84" s="95"/>
      <c r="R84" s="95"/>
      <c r="S84" s="95"/>
      <c r="T84" s="166"/>
      <c r="U84" s="244"/>
      <c r="V84" s="85"/>
      <c r="W84" s="85"/>
      <c r="X84" s="85"/>
      <c r="Y84" s="85"/>
      <c r="Z84" s="86"/>
      <c r="AA84" s="85"/>
      <c r="AB84" s="206"/>
      <c r="AC84" s="361"/>
    </row>
    <row r="85">
      <c r="A85" s="242"/>
      <c r="B85" s="164"/>
      <c r="C85" s="164"/>
      <c r="D85" s="165"/>
      <c r="E85" s="165"/>
      <c r="F85" s="149"/>
      <c r="G85" s="103"/>
      <c r="H85" s="103"/>
      <c r="I85" s="96"/>
      <c r="J85" s="96"/>
      <c r="K85" s="96"/>
      <c r="L85" s="96"/>
      <c r="M85" s="95"/>
      <c r="N85" s="95"/>
      <c r="O85" s="95"/>
      <c r="P85" s="95"/>
      <c r="Q85" s="95"/>
      <c r="R85" s="95"/>
      <c r="S85" s="95"/>
      <c r="T85" s="166"/>
      <c r="U85" s="244"/>
      <c r="V85" s="85"/>
      <c r="W85" s="85"/>
      <c r="X85" s="85"/>
      <c r="Y85" s="85"/>
      <c r="Z85" s="86"/>
      <c r="AA85" s="85"/>
      <c r="AB85" s="206"/>
      <c r="AC85" s="361"/>
    </row>
    <row r="86">
      <c r="A86" s="242"/>
      <c r="B86" s="164"/>
      <c r="C86" s="164"/>
      <c r="D86" s="165"/>
      <c r="E86" s="165"/>
      <c r="F86" s="149"/>
      <c r="G86" s="103"/>
      <c r="H86" s="103"/>
      <c r="I86" s="96"/>
      <c r="J86" s="96"/>
      <c r="K86" s="96"/>
      <c r="L86" s="96"/>
      <c r="M86" s="95"/>
      <c r="N86" s="95"/>
      <c r="O86" s="95"/>
      <c r="P86" s="95"/>
      <c r="Q86" s="95"/>
      <c r="R86" s="95"/>
      <c r="S86" s="95"/>
      <c r="T86" s="166"/>
      <c r="U86" s="244"/>
      <c r="V86" s="85"/>
      <c r="W86" s="85"/>
      <c r="X86" s="85"/>
      <c r="Y86" s="85"/>
      <c r="Z86" s="86"/>
      <c r="AA86" s="85"/>
      <c r="AB86" s="206"/>
      <c r="AC86" s="361"/>
    </row>
    <row r="87">
      <c r="A87" s="242"/>
      <c r="B87" s="164"/>
      <c r="C87" s="164"/>
      <c r="D87" s="165"/>
      <c r="E87" s="165"/>
      <c r="F87" s="149"/>
      <c r="G87" s="103"/>
      <c r="H87" s="103"/>
      <c r="I87" s="96"/>
      <c r="J87" s="96"/>
      <c r="K87" s="96"/>
      <c r="L87" s="96"/>
      <c r="M87" s="95"/>
      <c r="N87" s="95"/>
      <c r="O87" s="95"/>
      <c r="P87" s="95"/>
      <c r="Q87" s="95"/>
      <c r="R87" s="95"/>
      <c r="S87" s="95"/>
      <c r="T87" s="166"/>
      <c r="U87" s="244"/>
      <c r="V87" s="85"/>
      <c r="W87" s="85"/>
      <c r="X87" s="85"/>
      <c r="Y87" s="85"/>
      <c r="Z87" s="86"/>
      <c r="AA87" s="85"/>
      <c r="AB87" s="206"/>
      <c r="AC87" s="361"/>
    </row>
    <row r="88">
      <c r="A88" s="242"/>
      <c r="B88" s="164"/>
      <c r="C88" s="164"/>
      <c r="D88" s="165"/>
      <c r="E88" s="165"/>
      <c r="F88" s="149"/>
      <c r="G88" s="103"/>
      <c r="H88" s="103"/>
      <c r="I88" s="96"/>
      <c r="J88" s="96"/>
      <c r="K88" s="96"/>
      <c r="L88" s="96"/>
      <c r="M88" s="95"/>
      <c r="N88" s="95"/>
      <c r="O88" s="95"/>
      <c r="P88" s="95"/>
      <c r="Q88" s="95"/>
      <c r="R88" s="95"/>
      <c r="S88" s="95"/>
      <c r="T88" s="166"/>
      <c r="U88" s="244"/>
      <c r="V88" s="85"/>
      <c r="W88" s="85"/>
      <c r="X88" s="85"/>
      <c r="Y88" s="85"/>
      <c r="Z88" s="86"/>
      <c r="AA88" s="85"/>
      <c r="AB88" s="206"/>
      <c r="AC88" s="361"/>
    </row>
    <row r="89">
      <c r="A89" s="242"/>
      <c r="B89" s="164"/>
      <c r="C89" s="164"/>
      <c r="D89" s="165"/>
      <c r="E89" s="165"/>
      <c r="F89" s="149"/>
      <c r="G89" s="103"/>
      <c r="H89" s="103"/>
      <c r="I89" s="96"/>
      <c r="J89" s="96"/>
      <c r="K89" s="96"/>
      <c r="L89" s="96"/>
      <c r="M89" s="95"/>
      <c r="N89" s="95"/>
      <c r="O89" s="95"/>
      <c r="P89" s="95"/>
      <c r="Q89" s="95"/>
      <c r="R89" s="95"/>
      <c r="S89" s="95"/>
      <c r="T89" s="166"/>
      <c r="U89" s="244"/>
      <c r="V89" s="85"/>
      <c r="W89" s="85"/>
      <c r="X89" s="85"/>
      <c r="Y89" s="85"/>
      <c r="Z89" s="86"/>
      <c r="AA89" s="85"/>
      <c r="AB89" s="206"/>
      <c r="AC89" s="361"/>
    </row>
    <row r="90">
      <c r="A90" s="242"/>
      <c r="B90" s="164"/>
      <c r="C90" s="164"/>
      <c r="D90" s="165"/>
      <c r="E90" s="165"/>
      <c r="F90" s="149"/>
      <c r="G90" s="103"/>
      <c r="H90" s="103"/>
      <c r="I90" s="96"/>
      <c r="J90" s="96"/>
      <c r="K90" s="96"/>
      <c r="L90" s="96"/>
      <c r="M90" s="95"/>
      <c r="N90" s="95"/>
      <c r="O90" s="95"/>
      <c r="P90" s="95"/>
      <c r="Q90" s="95"/>
      <c r="R90" s="95"/>
      <c r="S90" s="95"/>
      <c r="T90" s="166"/>
      <c r="U90" s="244"/>
      <c r="V90" s="85"/>
      <c r="W90" s="85"/>
      <c r="X90" s="85"/>
      <c r="Y90" s="85"/>
      <c r="Z90" s="86"/>
      <c r="AA90" s="85"/>
      <c r="AB90" s="206"/>
      <c r="AC90" s="361"/>
    </row>
    <row r="91">
      <c r="A91" s="242"/>
      <c r="B91" s="164"/>
      <c r="C91" s="164"/>
      <c r="D91" s="165"/>
      <c r="E91" s="165"/>
      <c r="F91" s="149"/>
      <c r="G91" s="103"/>
      <c r="H91" s="103"/>
      <c r="I91" s="96"/>
      <c r="J91" s="96"/>
      <c r="K91" s="96"/>
      <c r="L91" s="96"/>
      <c r="M91" s="95"/>
      <c r="N91" s="95"/>
      <c r="O91" s="95"/>
      <c r="P91" s="95"/>
      <c r="Q91" s="95"/>
      <c r="R91" s="95"/>
      <c r="S91" s="95"/>
      <c r="T91" s="166"/>
      <c r="U91" s="244"/>
      <c r="V91" s="85"/>
      <c r="W91" s="85"/>
      <c r="X91" s="85"/>
      <c r="Y91" s="85"/>
      <c r="Z91" s="86"/>
      <c r="AA91" s="85"/>
      <c r="AB91" s="206"/>
      <c r="AC91" s="361"/>
    </row>
    <row r="92">
      <c r="A92" s="242">
        <v>79.0</v>
      </c>
      <c r="B92" s="164">
        <v>46266.0</v>
      </c>
      <c r="C92" s="164"/>
      <c r="D92" s="243" t="s">
        <v>54</v>
      </c>
      <c r="E92" s="165" t="s">
        <v>1870</v>
      </c>
      <c r="F92" s="86">
        <v>130730.0</v>
      </c>
      <c r="G92" s="218">
        <v>30.46</v>
      </c>
      <c r="H92" s="218">
        <v>30.46</v>
      </c>
      <c r="I92" s="96">
        <f>F92*H92</f>
        <v>3982035.8</v>
      </c>
      <c r="J92" s="96">
        <f>I92*0.01</f>
        <v>39820.358</v>
      </c>
      <c r="K92" s="96"/>
      <c r="L92" s="96"/>
      <c r="M92" s="95">
        <f>ROUND(IF(H92&gt;31,31,H92)*48.96%*F92,-3)</f>
        <v>1950000</v>
      </c>
      <c r="N92" s="95">
        <f>I92-M92-R92-U92-J92-Y92-AA92-K92-L92</f>
        <v>1892215.442</v>
      </c>
      <c r="O92" s="95">
        <f>0.3%*G92</f>
        <v>0.09138</v>
      </c>
      <c r="P92" s="95">
        <f>G92-H92</f>
        <v>0</v>
      </c>
      <c r="Q92" s="95">
        <f>IF(P92&gt;O92,(1000000*(P92-O92)),0)</f>
        <v>0</v>
      </c>
      <c r="R92" s="95">
        <f>Q92/2</f>
        <v>0</v>
      </c>
      <c r="S92" s="71" t="s">
        <v>91</v>
      </c>
      <c r="T92" s="166">
        <v>50000.0</v>
      </c>
      <c r="U92" s="244">
        <f>0*T92</f>
        <v>0</v>
      </c>
      <c r="V92" s="85" t="s">
        <v>1366</v>
      </c>
      <c r="W92" s="85" t="s">
        <v>1232</v>
      </c>
      <c r="X92" s="85" t="s">
        <v>1366</v>
      </c>
      <c r="Y92" s="85">
        <v>0.0</v>
      </c>
      <c r="Z92" s="86" t="s">
        <v>91</v>
      </c>
      <c r="AA92" s="85">
        <v>100000.0</v>
      </c>
      <c r="AB92" s="71" t="s">
        <v>1366</v>
      </c>
      <c r="AC92" s="361"/>
    </row>
    <row r="93">
      <c r="A93" s="242"/>
      <c r="B93" s="164"/>
      <c r="C93" s="164"/>
      <c r="D93" s="165"/>
      <c r="E93" s="165"/>
      <c r="F93" s="149"/>
      <c r="G93" s="103"/>
      <c r="H93" s="103"/>
      <c r="I93" s="96"/>
      <c r="J93" s="96"/>
      <c r="K93" s="96"/>
      <c r="L93" s="96"/>
      <c r="M93" s="95"/>
      <c r="N93" s="95"/>
      <c r="O93" s="95"/>
      <c r="P93" s="95"/>
      <c r="Q93" s="95"/>
      <c r="R93" s="95"/>
      <c r="S93" s="95"/>
      <c r="T93" s="166"/>
      <c r="U93" s="244"/>
      <c r="V93" s="85"/>
      <c r="W93" s="85"/>
      <c r="X93" s="85"/>
      <c r="Y93" s="85"/>
      <c r="Z93" s="86"/>
      <c r="AA93" s="85"/>
      <c r="AB93" s="206"/>
      <c r="AC93" s="361"/>
    </row>
    <row r="94">
      <c r="A94" s="242"/>
      <c r="B94" s="164"/>
      <c r="C94" s="164"/>
      <c r="D94" s="165"/>
      <c r="E94" s="165"/>
      <c r="F94" s="149"/>
      <c r="G94" s="103"/>
      <c r="H94" s="103"/>
      <c r="I94" s="96"/>
      <c r="J94" s="96"/>
      <c r="K94" s="96"/>
      <c r="L94" s="96"/>
      <c r="M94" s="95"/>
      <c r="N94" s="95"/>
      <c r="O94" s="95"/>
      <c r="P94" s="95"/>
      <c r="Q94" s="95"/>
      <c r="R94" s="95"/>
      <c r="S94" s="95"/>
      <c r="T94" s="166"/>
      <c r="U94" s="244"/>
      <c r="V94" s="85"/>
      <c r="W94" s="85"/>
      <c r="X94" s="85"/>
      <c r="Y94" s="85"/>
      <c r="Z94" s="86"/>
      <c r="AA94" s="85"/>
      <c r="AB94" s="206"/>
      <c r="AC94" s="361"/>
    </row>
    <row r="95">
      <c r="A95" s="516"/>
      <c r="B95" s="516"/>
      <c r="C95" s="516"/>
      <c r="D95" s="516"/>
      <c r="E95" s="516"/>
      <c r="F95" s="516"/>
      <c r="G95" s="516"/>
      <c r="H95" s="516"/>
      <c r="I95" s="517">
        <f t="shared" ref="I95:J95" si="30">SUM(I3:I94)</f>
        <v>364914321.8</v>
      </c>
      <c r="J95" s="517">
        <f t="shared" si="30"/>
        <v>3547154.942</v>
      </c>
      <c r="K95" s="517"/>
      <c r="L95" s="517"/>
      <c r="M95" s="517">
        <f>SUM(M3:M79)</f>
        <v>169931000</v>
      </c>
      <c r="N95" s="517">
        <f>SUM(N3:N77)</f>
        <v>154401163.7</v>
      </c>
      <c r="O95" s="517"/>
      <c r="P95" s="517"/>
      <c r="Q95" s="517">
        <f t="shared" ref="Q95:R95" si="31">SUM(Q31:Q84)</f>
        <v>1881600</v>
      </c>
      <c r="R95" s="518">
        <f t="shared" si="31"/>
        <v>940800</v>
      </c>
      <c r="S95" s="518">
        <f>SUM(R30:R68)</f>
        <v>621550</v>
      </c>
      <c r="T95" s="517"/>
      <c r="U95" s="517">
        <f>SUM(U3:U76)</f>
        <v>3010000</v>
      </c>
      <c r="V95" s="518">
        <f>U95-SUM(U3:U51)</f>
        <v>1020000</v>
      </c>
      <c r="W95" s="518">
        <f>sum(W28:W78)</f>
        <v>1100000</v>
      </c>
      <c r="X95" s="518">
        <f>W95-SUM(W3:W51)</f>
        <v>300000</v>
      </c>
      <c r="Y95" s="517">
        <f>SUM(Y3:Y75)</f>
        <v>1250000</v>
      </c>
      <c r="Z95" s="518">
        <f>Y95-SUM(Y3:Y68)</f>
        <v>400000</v>
      </c>
      <c r="AA95" s="517">
        <f>SUM(AA3:AA83)</f>
        <v>8100000</v>
      </c>
      <c r="AB95" s="518">
        <f>AA95-SUM(AA3:AA65)</f>
        <v>1800000</v>
      </c>
      <c r="AC95" s="206"/>
    </row>
    <row r="96">
      <c r="G96" s="442"/>
      <c r="S96" s="201"/>
      <c r="V96" s="69" t="s">
        <v>1924</v>
      </c>
    </row>
    <row r="97">
      <c r="B97" s="69"/>
      <c r="G97" s="442"/>
      <c r="R97" s="213"/>
      <c r="S97" s="201"/>
    </row>
    <row r="98">
      <c r="B98" s="69"/>
      <c r="D98" s="213"/>
      <c r="G98" s="442"/>
      <c r="M98" s="200" t="s">
        <v>1930</v>
      </c>
      <c r="N98" s="525">
        <f>SUM(N3)</f>
        <v>1526271.338</v>
      </c>
      <c r="O98" s="525">
        <v>408236.83999999997</v>
      </c>
      <c r="P98" s="525">
        <f t="shared" ref="P98:P110" si="32">N98-O98</f>
        <v>1118034.498</v>
      </c>
      <c r="Q98" s="213">
        <v>1526271.3375999997</v>
      </c>
      <c r="R98" s="213"/>
      <c r="S98" s="201"/>
      <c r="U98" s="69"/>
      <c r="V98" s="527">
        <v>1990000.0</v>
      </c>
      <c r="W98" s="528">
        <v>700000.0</v>
      </c>
    </row>
    <row r="99">
      <c r="B99" s="69"/>
      <c r="D99" s="529"/>
      <c r="G99" s="442"/>
      <c r="M99" s="200" t="s">
        <v>1936</v>
      </c>
      <c r="N99" s="525">
        <f>SUM(N4:N12)</f>
        <v>22875893.21</v>
      </c>
      <c r="O99" s="525">
        <v>8563000.0</v>
      </c>
      <c r="P99" s="525">
        <f t="shared" si="32"/>
        <v>14312893.21</v>
      </c>
      <c r="Q99" s="213">
        <v>2.287589320578E7</v>
      </c>
      <c r="R99" s="213"/>
      <c r="S99" s="201"/>
      <c r="U99" s="530" t="s">
        <v>1939</v>
      </c>
      <c r="V99" s="531">
        <v>1720000.0</v>
      </c>
      <c r="W99" s="274" t="s">
        <v>1941</v>
      </c>
      <c r="X99" s="69"/>
    </row>
    <row r="100">
      <c r="B100" s="69"/>
      <c r="D100" s="529"/>
      <c r="G100" s="442"/>
      <c r="M100" s="200" t="s">
        <v>1942</v>
      </c>
      <c r="N100" s="525">
        <f>SUM(N13:N20)</f>
        <v>19460193.04</v>
      </c>
      <c r="O100" s="525">
        <v>5400000.0</v>
      </c>
      <c r="P100" s="525">
        <f t="shared" si="32"/>
        <v>14060193.04</v>
      </c>
      <c r="Q100" s="213">
        <v>1.9460193035E7</v>
      </c>
      <c r="R100" s="213"/>
      <c r="S100" s="201"/>
    </row>
    <row r="101">
      <c r="B101" s="69"/>
      <c r="D101" s="213"/>
      <c r="F101" s="213"/>
      <c r="G101" s="442"/>
      <c r="M101" s="200" t="s">
        <v>1953</v>
      </c>
      <c r="N101" s="525">
        <f>SUM(N21:N30)</f>
        <v>17869303.04</v>
      </c>
      <c r="O101" s="525">
        <v>5345000.0</v>
      </c>
      <c r="P101" s="525">
        <f t="shared" si="32"/>
        <v>12524303.04</v>
      </c>
      <c r="Q101" s="213">
        <v>1.7869303043519996E7</v>
      </c>
      <c r="R101" s="213"/>
      <c r="S101" s="201"/>
      <c r="U101" s="534" t="s">
        <v>1960</v>
      </c>
    </row>
    <row r="102">
      <c r="D102" s="529"/>
      <c r="F102" s="529"/>
      <c r="G102" s="442"/>
      <c r="M102" s="200" t="s">
        <v>1962</v>
      </c>
      <c r="N102" s="525">
        <f>SUM(N31:N38)</f>
        <v>15299252.86</v>
      </c>
      <c r="O102" s="525">
        <v>8480600.0</v>
      </c>
      <c r="P102" s="525">
        <f t="shared" si="32"/>
        <v>6818652.862</v>
      </c>
      <c r="Q102" s="213">
        <v>1.529912286194E7</v>
      </c>
      <c r="R102" s="213"/>
      <c r="S102" s="201"/>
    </row>
    <row r="103">
      <c r="B103" s="69"/>
      <c r="D103" s="213"/>
      <c r="G103" s="442"/>
      <c r="M103" s="200" t="s">
        <v>1970</v>
      </c>
      <c r="N103" s="525">
        <f>SUM(N39:N46)</f>
        <v>16567778.72</v>
      </c>
      <c r="O103" s="525">
        <v>6993600.0</v>
      </c>
      <c r="P103" s="525">
        <f t="shared" si="32"/>
        <v>9574178.722</v>
      </c>
      <c r="Q103" s="213">
        <v>1.69110287222E7</v>
      </c>
      <c r="R103" s="213"/>
      <c r="S103" s="201"/>
    </row>
    <row r="104">
      <c r="D104" s="529"/>
      <c r="G104" s="442"/>
      <c r="M104" s="200" t="s">
        <v>1979</v>
      </c>
      <c r="N104" s="525">
        <f>SUM(N47:N51)</f>
        <v>9525951.265</v>
      </c>
      <c r="O104" s="525">
        <v>1703600.0</v>
      </c>
      <c r="P104" s="525">
        <f t="shared" si="32"/>
        <v>7822351.265</v>
      </c>
      <c r="Q104" s="213">
        <v>3257994.4136</v>
      </c>
      <c r="S104" s="201"/>
    </row>
    <row r="105" ht="15.75" customHeight="1">
      <c r="B105" s="69"/>
      <c r="G105" s="442"/>
      <c r="M105" s="200" t="s">
        <v>1987</v>
      </c>
      <c r="N105" s="525">
        <f>SUM(N52:N58)</f>
        <v>12850342.42</v>
      </c>
      <c r="O105" s="525">
        <v>2.02236E7</v>
      </c>
      <c r="P105" s="525">
        <f t="shared" si="32"/>
        <v>-7373257.582</v>
      </c>
      <c r="S105" s="201"/>
    </row>
    <row r="106" ht="15.75" customHeight="1">
      <c r="B106" s="69"/>
      <c r="G106" s="442"/>
      <c r="M106" s="200" t="s">
        <v>1990</v>
      </c>
      <c r="N106" s="525">
        <f>SUM(N59:N65)</f>
        <v>15275653.23</v>
      </c>
      <c r="O106" s="525">
        <v>2.12086E7</v>
      </c>
      <c r="P106" s="525">
        <f t="shared" si="32"/>
        <v>-5932946.772</v>
      </c>
      <c r="S106" s="201"/>
    </row>
    <row r="107" ht="15.75" customHeight="1">
      <c r="G107" s="442"/>
      <c r="M107" s="200" t="s">
        <v>1978</v>
      </c>
      <c r="N107" s="525">
        <f>SUM(N66:N72)</f>
        <v>13147417.68</v>
      </c>
      <c r="O107" s="525">
        <v>5928600.0</v>
      </c>
      <c r="P107" s="525">
        <f t="shared" si="32"/>
        <v>7218817.68</v>
      </c>
      <c r="S107" s="201"/>
    </row>
    <row r="108" ht="15.75" customHeight="1">
      <c r="G108" s="442"/>
      <c r="M108" s="200" t="s">
        <v>1986</v>
      </c>
      <c r="N108" s="525">
        <f>SUM(N73:N81)</f>
        <v>16477104.97</v>
      </c>
      <c r="O108" s="525">
        <v>4307310.0</v>
      </c>
      <c r="P108" s="525">
        <f t="shared" si="32"/>
        <v>12169794.97</v>
      </c>
      <c r="S108" s="201"/>
    </row>
    <row r="109" ht="15.75" customHeight="1">
      <c r="G109" s="442"/>
      <c r="M109" s="200" t="s">
        <v>1998</v>
      </c>
      <c r="N109" s="525">
        <f>SUM(N82:N83)</f>
        <v>4213489.669</v>
      </c>
      <c r="O109" s="525"/>
      <c r="P109" s="525">
        <f t="shared" si="32"/>
        <v>4213489.669</v>
      </c>
      <c r="S109" s="201"/>
    </row>
    <row r="110" ht="15.75" customHeight="1">
      <c r="G110" s="442"/>
      <c r="M110" s="200" t="s">
        <v>1930</v>
      </c>
      <c r="N110" s="525">
        <f>SUM(N92:N93)</f>
        <v>1892215.442</v>
      </c>
      <c r="O110" s="525"/>
      <c r="P110" s="525">
        <f t="shared" si="32"/>
        <v>1892215.442</v>
      </c>
      <c r="S110" s="201"/>
    </row>
    <row r="111" ht="15.75" customHeight="1">
      <c r="G111" s="442"/>
      <c r="M111" s="200"/>
      <c r="N111" s="525"/>
      <c r="O111" s="525"/>
      <c r="P111" s="525"/>
      <c r="S111" s="201"/>
    </row>
    <row r="112" ht="15.75" customHeight="1">
      <c r="G112" s="442"/>
      <c r="M112" s="200"/>
      <c r="N112" s="525"/>
      <c r="O112" s="525"/>
      <c r="P112" s="525"/>
      <c r="S112" s="201"/>
    </row>
    <row r="113" ht="15.75" customHeight="1">
      <c r="B113" s="69"/>
      <c r="G113" s="442"/>
      <c r="M113" s="208" t="s">
        <v>2007</v>
      </c>
      <c r="N113" s="525">
        <f t="shared" ref="N113:P113" si="33">SUM(N98:N109)</f>
        <v>165088651.4</v>
      </c>
      <c r="O113" s="525">
        <f t="shared" si="33"/>
        <v>88562146.84</v>
      </c>
      <c r="P113" s="525">
        <f t="shared" si="33"/>
        <v>76526504.6</v>
      </c>
      <c r="Q113" s="528">
        <v>9.719980661964E7</v>
      </c>
      <c r="S113" s="201"/>
    </row>
    <row r="114" ht="15.75" customHeight="1">
      <c r="B114" s="69"/>
      <c r="D114" s="529"/>
      <c r="G114" s="442"/>
      <c r="M114" s="231"/>
      <c r="S114" s="201"/>
    </row>
    <row r="115" ht="15.75" customHeight="1">
      <c r="B115" s="69"/>
      <c r="D115" s="529"/>
      <c r="G115" s="442"/>
      <c r="M115" s="231"/>
      <c r="S115" s="201"/>
    </row>
    <row r="116" ht="15.75" customHeight="1">
      <c r="B116" s="69"/>
      <c r="C116" s="552"/>
      <c r="D116" s="213"/>
      <c r="G116" s="442"/>
      <c r="M116" s="231"/>
      <c r="S116" s="201"/>
    </row>
    <row r="117" ht="15.75" customHeight="1">
      <c r="D117" s="213"/>
      <c r="G117" s="442"/>
      <c r="M117" s="231"/>
      <c r="S117" s="201"/>
    </row>
    <row r="118" ht="15.75" customHeight="1">
      <c r="B118" s="69"/>
      <c r="D118" s="213"/>
      <c r="E118" s="529"/>
      <c r="G118" s="442"/>
      <c r="M118" s="231"/>
      <c r="S118" s="201"/>
    </row>
    <row r="119" ht="15.75" customHeight="1">
      <c r="D119" s="213"/>
      <c r="E119" s="213"/>
      <c r="F119" s="213"/>
      <c r="G119" s="442"/>
      <c r="M119" s="231"/>
      <c r="S119" s="201"/>
    </row>
    <row r="120" ht="15.75" customHeight="1">
      <c r="B120" s="69"/>
      <c r="D120" s="213"/>
      <c r="E120" s="529"/>
      <c r="G120" s="442"/>
      <c r="M120" s="231"/>
      <c r="S120" s="201"/>
    </row>
    <row r="121" ht="15.75" customHeight="1">
      <c r="D121" s="213"/>
      <c r="E121" s="213"/>
      <c r="G121" s="442"/>
      <c r="M121" s="231"/>
      <c r="S121" s="201"/>
    </row>
    <row r="122" ht="15.75" customHeight="1">
      <c r="B122" s="69"/>
      <c r="G122" s="442"/>
      <c r="M122" s="231"/>
      <c r="S122" s="201"/>
    </row>
    <row r="123" ht="15.75" customHeight="1">
      <c r="B123" s="69"/>
      <c r="G123" s="442"/>
      <c r="M123" s="231"/>
      <c r="S123" s="201"/>
    </row>
    <row r="124" ht="15.75" customHeight="1">
      <c r="G124" s="442"/>
      <c r="M124" s="231"/>
      <c r="S124" s="201"/>
    </row>
    <row r="125" ht="15.75" customHeight="1">
      <c r="G125" s="442"/>
      <c r="M125" s="231"/>
      <c r="S125" s="201"/>
    </row>
    <row r="126" ht="15.75" customHeight="1">
      <c r="B126" s="69"/>
      <c r="G126" s="442"/>
      <c r="M126" s="231"/>
      <c r="S126" s="201"/>
    </row>
    <row r="127" ht="15.75" customHeight="1">
      <c r="B127" s="69"/>
      <c r="D127" s="213"/>
      <c r="G127" s="442"/>
      <c r="S127" s="201"/>
    </row>
    <row r="128" ht="15.75" customHeight="1">
      <c r="B128" s="69"/>
      <c r="D128" s="529"/>
      <c r="G128" s="442"/>
      <c r="S128" s="201"/>
    </row>
    <row r="129" ht="15.75" customHeight="1">
      <c r="B129" s="69"/>
      <c r="C129" s="552"/>
      <c r="D129" s="529"/>
      <c r="G129" s="442"/>
      <c r="S129" s="201"/>
    </row>
    <row r="130" ht="15.75" customHeight="1">
      <c r="B130" s="69"/>
      <c r="D130" s="213"/>
      <c r="G130" s="442"/>
      <c r="S130" s="201"/>
    </row>
    <row r="131" ht="15.75" customHeight="1">
      <c r="D131" s="529"/>
      <c r="G131" s="442"/>
      <c r="S131" s="201"/>
    </row>
    <row r="132" ht="15.75" customHeight="1">
      <c r="B132" s="69"/>
      <c r="D132" s="213"/>
      <c r="G132" s="442"/>
      <c r="S132" s="201"/>
    </row>
    <row r="133" ht="15.75" customHeight="1">
      <c r="D133" s="529"/>
      <c r="G133" s="442"/>
      <c r="S133" s="201"/>
    </row>
    <row r="134" ht="15.75" customHeight="1">
      <c r="B134" s="69"/>
      <c r="G134" s="442"/>
      <c r="S134" s="201"/>
    </row>
    <row r="135" ht="15.75" customHeight="1">
      <c r="B135" s="69"/>
      <c r="G135" s="442"/>
      <c r="S135" s="201"/>
    </row>
    <row r="136" ht="15.75" customHeight="1">
      <c r="G136" s="442"/>
      <c r="S136" s="201"/>
    </row>
    <row r="137" ht="15.75" customHeight="1">
      <c r="G137" s="442"/>
      <c r="S137" s="201"/>
    </row>
    <row r="138" ht="15.75" customHeight="1">
      <c r="G138" s="442"/>
      <c r="S138" s="553"/>
    </row>
    <row r="139" ht="15.75" customHeight="1">
      <c r="G139" s="442"/>
      <c r="M139" s="231"/>
    </row>
    <row r="140" ht="15.75" customHeight="1">
      <c r="G140" s="442"/>
      <c r="M140" s="231"/>
    </row>
    <row r="141" ht="15.75" customHeight="1">
      <c r="G141" s="442"/>
      <c r="M141" s="231"/>
    </row>
    <row r="142" ht="15.75" customHeight="1">
      <c r="G142" s="442"/>
      <c r="M142" s="231"/>
    </row>
    <row r="143" ht="15.75" customHeight="1">
      <c r="G143" s="442"/>
      <c r="M143" s="231"/>
    </row>
    <row r="144" ht="15.75" customHeight="1">
      <c r="G144" s="442"/>
      <c r="M144" s="231"/>
    </row>
    <row r="145" ht="15.75" customHeight="1">
      <c r="G145" s="442"/>
      <c r="M145" s="231"/>
    </row>
    <row r="146" ht="15.75" customHeight="1">
      <c r="G146" s="442"/>
      <c r="M146" s="231"/>
    </row>
    <row r="147" ht="15.75" customHeight="1">
      <c r="G147" s="442"/>
      <c r="M147" s="231"/>
    </row>
    <row r="148" ht="15.75" customHeight="1">
      <c r="G148" s="442"/>
      <c r="M148" s="231"/>
    </row>
    <row r="149" ht="15.75" customHeight="1">
      <c r="G149" s="442"/>
      <c r="M149" s="231"/>
    </row>
    <row r="150" ht="15.75" customHeight="1">
      <c r="G150" s="442"/>
      <c r="M150" s="231"/>
    </row>
    <row r="151" ht="15.75" customHeight="1">
      <c r="G151" s="442"/>
      <c r="M151" s="231"/>
    </row>
    <row r="152" ht="15.75" customHeight="1">
      <c r="G152" s="442"/>
      <c r="M152" s="231"/>
    </row>
    <row r="153" ht="15.75" customHeight="1">
      <c r="G153" s="442"/>
      <c r="M153" s="231"/>
    </row>
    <row r="154" ht="15.75" customHeight="1">
      <c r="G154" s="442"/>
      <c r="M154" s="231"/>
    </row>
    <row r="155" ht="15.75" customHeight="1">
      <c r="G155" s="442"/>
      <c r="M155" s="231"/>
    </row>
    <row r="156" ht="15.75" customHeight="1">
      <c r="G156" s="442"/>
      <c r="M156" s="231"/>
    </row>
    <row r="157" ht="15.75" customHeight="1">
      <c r="G157" s="442"/>
      <c r="M157" s="231"/>
    </row>
    <row r="158" ht="15.75" customHeight="1">
      <c r="G158" s="442"/>
      <c r="M158" s="231"/>
    </row>
    <row r="159" ht="15.75" customHeight="1">
      <c r="G159" s="442"/>
      <c r="M159" s="231"/>
    </row>
    <row r="160" ht="15.75" customHeight="1">
      <c r="G160" s="442"/>
      <c r="M160" s="231"/>
    </row>
    <row r="161" ht="15.75" customHeight="1">
      <c r="G161" s="442"/>
      <c r="M161" s="231"/>
    </row>
    <row r="162" ht="15.75" customHeight="1">
      <c r="G162" s="442"/>
      <c r="M162" s="231"/>
    </row>
    <row r="163" ht="15.75" customHeight="1">
      <c r="G163" s="442"/>
      <c r="M163" s="231"/>
    </row>
    <row r="164" ht="15.75" customHeight="1">
      <c r="G164" s="442"/>
      <c r="M164" s="231"/>
    </row>
    <row r="165" ht="15.75" customHeight="1">
      <c r="G165" s="442"/>
      <c r="M165" s="231"/>
    </row>
    <row r="166" ht="15.75" customHeight="1">
      <c r="G166" s="442"/>
      <c r="M166" s="231"/>
    </row>
    <row r="167" ht="15.75" customHeight="1">
      <c r="G167" s="442"/>
      <c r="M167" s="231"/>
    </row>
    <row r="168" ht="15.75" customHeight="1">
      <c r="G168" s="442"/>
      <c r="M168" s="231"/>
    </row>
    <row r="169" ht="15.75" customHeight="1">
      <c r="G169" s="442"/>
      <c r="M169" s="231"/>
    </row>
    <row r="170" ht="15.75" customHeight="1">
      <c r="G170" s="442"/>
      <c r="M170" s="231"/>
    </row>
    <row r="171" ht="15.75" customHeight="1">
      <c r="G171" s="442"/>
      <c r="M171" s="231"/>
    </row>
    <row r="172" ht="15.75" customHeight="1">
      <c r="G172" s="442"/>
      <c r="M172" s="231"/>
    </row>
    <row r="173" ht="15.75" customHeight="1">
      <c r="G173" s="442"/>
      <c r="M173" s="231"/>
    </row>
    <row r="174" ht="15.75" customHeight="1">
      <c r="G174" s="442"/>
      <c r="M174" s="231"/>
    </row>
    <row r="175" ht="15.75" customHeight="1">
      <c r="G175" s="442"/>
      <c r="M175" s="231"/>
    </row>
    <row r="176" ht="15.75" customHeight="1">
      <c r="G176" s="442"/>
      <c r="M176" s="231"/>
    </row>
    <row r="177" ht="15.75" customHeight="1">
      <c r="G177" s="442"/>
      <c r="M177" s="231"/>
    </row>
    <row r="178" ht="15.75" customHeight="1">
      <c r="G178" s="442"/>
      <c r="M178" s="231"/>
    </row>
    <row r="179" ht="15.75" customHeight="1">
      <c r="G179" s="442"/>
      <c r="M179" s="231"/>
    </row>
    <row r="180" ht="15.75" customHeight="1">
      <c r="G180" s="442"/>
      <c r="M180" s="231"/>
    </row>
    <row r="181" ht="15.75" customHeight="1">
      <c r="G181" s="442"/>
      <c r="M181" s="231"/>
    </row>
    <row r="182" ht="15.75" customHeight="1">
      <c r="G182" s="442"/>
      <c r="M182" s="231"/>
    </row>
    <row r="183" ht="15.75" customHeight="1">
      <c r="G183" s="442"/>
      <c r="M183" s="231"/>
    </row>
    <row r="184" ht="15.75" customHeight="1">
      <c r="G184" s="442"/>
      <c r="M184" s="231"/>
    </row>
    <row r="185" ht="15.75" customHeight="1">
      <c r="G185" s="442"/>
      <c r="M185" s="231"/>
    </row>
    <row r="186" ht="15.75" customHeight="1">
      <c r="G186" s="442"/>
      <c r="M186" s="231"/>
    </row>
    <row r="187" ht="15.75" customHeight="1">
      <c r="G187" s="442"/>
      <c r="M187" s="231"/>
    </row>
    <row r="188" ht="15.75" customHeight="1">
      <c r="G188" s="442"/>
      <c r="M188" s="231"/>
    </row>
    <row r="189" ht="15.75" customHeight="1">
      <c r="G189" s="442"/>
      <c r="M189" s="231"/>
    </row>
    <row r="190" ht="15.75" customHeight="1">
      <c r="G190" s="442"/>
      <c r="M190" s="231"/>
    </row>
    <row r="191" ht="15.75" customHeight="1">
      <c r="G191" s="442"/>
      <c r="M191" s="231"/>
    </row>
    <row r="192" ht="15.75" customHeight="1">
      <c r="G192" s="442"/>
      <c r="M192" s="231"/>
    </row>
    <row r="193" ht="15.75" customHeight="1">
      <c r="G193" s="442"/>
      <c r="M193" s="231"/>
    </row>
    <row r="194" ht="15.75" customHeight="1">
      <c r="G194" s="442"/>
      <c r="M194" s="231"/>
    </row>
    <row r="195" ht="15.75" customHeight="1">
      <c r="G195" s="442"/>
      <c r="M195" s="231"/>
    </row>
    <row r="196" ht="15.75" customHeight="1">
      <c r="G196" s="442"/>
      <c r="M196" s="231"/>
    </row>
    <row r="197" ht="15.75" customHeight="1">
      <c r="G197" s="442"/>
      <c r="M197" s="231"/>
    </row>
    <row r="198" ht="15.75" customHeight="1">
      <c r="G198" s="442"/>
      <c r="M198" s="231"/>
    </row>
    <row r="199" ht="15.75" customHeight="1">
      <c r="G199" s="442"/>
      <c r="M199" s="231"/>
    </row>
    <row r="200" ht="15.75" customHeight="1">
      <c r="G200" s="442"/>
      <c r="M200" s="231"/>
    </row>
    <row r="201" ht="15.75" customHeight="1">
      <c r="G201" s="442"/>
      <c r="M201" s="231"/>
    </row>
    <row r="202" ht="15.75" customHeight="1">
      <c r="G202" s="442"/>
      <c r="M202" s="231"/>
    </row>
    <row r="203" ht="15.75" customHeight="1">
      <c r="G203" s="442"/>
      <c r="M203" s="231"/>
    </row>
    <row r="204" ht="15.75" customHeight="1">
      <c r="G204" s="442"/>
      <c r="M204" s="231"/>
    </row>
    <row r="205" ht="15.75" customHeight="1">
      <c r="G205" s="442"/>
      <c r="M205" s="231"/>
    </row>
    <row r="206" ht="15.75" customHeight="1">
      <c r="G206" s="442"/>
      <c r="M206" s="231"/>
    </row>
    <row r="207" ht="15.75" customHeight="1">
      <c r="G207" s="442"/>
      <c r="M207" s="231"/>
    </row>
    <row r="208" ht="15.75" customHeight="1">
      <c r="G208" s="442"/>
      <c r="M208" s="231"/>
    </row>
    <row r="209" ht="15.75" customHeight="1">
      <c r="G209" s="442"/>
      <c r="M209" s="231"/>
    </row>
    <row r="210" ht="15.75" customHeight="1">
      <c r="G210" s="442"/>
      <c r="M210" s="231"/>
    </row>
    <row r="211" ht="15.75" customHeight="1">
      <c r="G211" s="442"/>
      <c r="M211" s="231"/>
    </row>
    <row r="212" ht="15.75" customHeight="1">
      <c r="G212" s="442"/>
      <c r="M212" s="231"/>
    </row>
    <row r="213" ht="15.75" customHeight="1">
      <c r="G213" s="442"/>
      <c r="M213" s="231"/>
    </row>
    <row r="214" ht="15.75" customHeight="1">
      <c r="G214" s="442"/>
      <c r="M214" s="231"/>
    </row>
    <row r="215" ht="15.75" customHeight="1">
      <c r="G215" s="442"/>
      <c r="M215" s="231"/>
    </row>
    <row r="216" ht="15.75" customHeight="1">
      <c r="G216" s="442"/>
      <c r="M216" s="231"/>
    </row>
    <row r="217" ht="15.75" customHeight="1">
      <c r="G217" s="442"/>
      <c r="M217" s="231"/>
    </row>
    <row r="218" ht="15.75" customHeight="1">
      <c r="G218" s="442"/>
      <c r="M218" s="231"/>
    </row>
    <row r="219" ht="15.75" customHeight="1">
      <c r="G219" s="442"/>
      <c r="M219" s="231"/>
    </row>
    <row r="220" ht="15.75" customHeight="1">
      <c r="G220" s="442"/>
      <c r="M220" s="231"/>
    </row>
    <row r="221" ht="15.75" customHeight="1">
      <c r="G221" s="442"/>
      <c r="M221" s="231"/>
    </row>
    <row r="222" ht="15.75" customHeight="1">
      <c r="G222" s="442"/>
      <c r="M222" s="231"/>
    </row>
    <row r="223" ht="15.75" customHeight="1">
      <c r="G223" s="442"/>
      <c r="M223" s="231"/>
    </row>
    <row r="224" ht="15.75" customHeight="1">
      <c r="G224" s="442"/>
      <c r="M224" s="231"/>
    </row>
    <row r="225" ht="15.75" customHeight="1">
      <c r="G225" s="442"/>
      <c r="M225" s="231"/>
    </row>
    <row r="226" ht="15.75" customHeight="1">
      <c r="G226" s="442"/>
      <c r="M226" s="231"/>
    </row>
    <row r="227" ht="15.75" customHeight="1">
      <c r="G227" s="442"/>
      <c r="M227" s="231"/>
    </row>
    <row r="228" ht="15.75" customHeight="1">
      <c r="G228" s="442"/>
      <c r="M228" s="231"/>
    </row>
    <row r="229" ht="15.75" customHeight="1">
      <c r="G229" s="442"/>
      <c r="M229" s="231"/>
    </row>
    <row r="230" ht="15.75" customHeight="1">
      <c r="G230" s="442"/>
      <c r="M230" s="231"/>
    </row>
    <row r="231" ht="15.75" customHeight="1">
      <c r="G231" s="442"/>
      <c r="M231" s="231"/>
    </row>
    <row r="232" ht="15.75" customHeight="1">
      <c r="G232" s="442"/>
      <c r="M232" s="231"/>
    </row>
    <row r="233" ht="15.75" customHeight="1">
      <c r="G233" s="442"/>
      <c r="M233" s="231"/>
    </row>
    <row r="234" ht="15.75" customHeight="1">
      <c r="G234" s="442"/>
      <c r="M234" s="231"/>
    </row>
    <row r="235" ht="15.75" customHeight="1">
      <c r="G235" s="442"/>
      <c r="M235" s="231"/>
    </row>
    <row r="236" ht="15.75" customHeight="1">
      <c r="G236" s="442"/>
      <c r="M236" s="231"/>
    </row>
    <row r="237" ht="15.75" customHeight="1">
      <c r="G237" s="442"/>
      <c r="M237" s="231"/>
    </row>
    <row r="238" ht="15.75" customHeight="1">
      <c r="G238" s="442"/>
      <c r="M238" s="231"/>
    </row>
    <row r="239" ht="15.75" customHeight="1">
      <c r="G239" s="442"/>
      <c r="M239" s="231"/>
    </row>
    <row r="240" ht="15.75" customHeight="1">
      <c r="G240" s="442"/>
      <c r="M240" s="231"/>
    </row>
    <row r="241" ht="15.75" customHeight="1">
      <c r="G241" s="442"/>
      <c r="M241" s="231"/>
    </row>
    <row r="242" ht="15.75" customHeight="1">
      <c r="G242" s="442"/>
      <c r="M242" s="231"/>
    </row>
    <row r="243" ht="15.75" customHeight="1">
      <c r="G243" s="442"/>
      <c r="M243" s="231"/>
    </row>
    <row r="244" ht="15.75" customHeight="1">
      <c r="G244" s="442"/>
      <c r="M244" s="231"/>
    </row>
    <row r="245" ht="15.75" customHeight="1">
      <c r="G245" s="442"/>
      <c r="M245" s="231"/>
    </row>
    <row r="246" ht="15.75" customHeight="1">
      <c r="G246" s="442"/>
      <c r="M246" s="231"/>
    </row>
    <row r="247" ht="15.75" customHeight="1">
      <c r="G247" s="442"/>
      <c r="M247" s="231"/>
    </row>
    <row r="248" ht="15.75" customHeight="1">
      <c r="G248" s="442"/>
      <c r="M248" s="231"/>
    </row>
    <row r="249" ht="15.75" customHeight="1">
      <c r="G249" s="442"/>
      <c r="M249" s="231"/>
    </row>
    <row r="250" ht="15.75" customHeight="1">
      <c r="G250" s="442"/>
      <c r="M250" s="231"/>
    </row>
    <row r="251" ht="15.75" customHeight="1">
      <c r="G251" s="442"/>
      <c r="M251" s="231"/>
    </row>
    <row r="252" ht="15.75" customHeight="1">
      <c r="G252" s="442"/>
      <c r="M252" s="231"/>
    </row>
    <row r="253" ht="15.75" customHeight="1">
      <c r="G253" s="442"/>
      <c r="M253" s="231"/>
    </row>
    <row r="254" ht="15.75" customHeight="1">
      <c r="G254" s="442"/>
      <c r="M254" s="231"/>
    </row>
    <row r="255" ht="15.75" customHeight="1">
      <c r="G255" s="442"/>
      <c r="M255" s="231"/>
    </row>
    <row r="256" ht="15.75" customHeight="1">
      <c r="G256" s="442"/>
      <c r="M256" s="231"/>
    </row>
    <row r="257" ht="15.75" customHeight="1">
      <c r="G257" s="442"/>
      <c r="M257" s="231"/>
    </row>
    <row r="258" ht="15.75" customHeight="1">
      <c r="G258" s="442"/>
      <c r="M258" s="231"/>
    </row>
    <row r="259" ht="15.75" customHeight="1">
      <c r="G259" s="442"/>
      <c r="M259" s="231"/>
    </row>
    <row r="260" ht="15.75" customHeight="1">
      <c r="G260" s="442"/>
      <c r="M260" s="231"/>
    </row>
    <row r="261" ht="15.75" customHeight="1">
      <c r="G261" s="442"/>
      <c r="M261" s="231"/>
    </row>
    <row r="262" ht="15.75" customHeight="1">
      <c r="G262" s="442"/>
      <c r="M262" s="231"/>
    </row>
    <row r="263" ht="15.75" customHeight="1">
      <c r="G263" s="442"/>
      <c r="M263" s="231"/>
    </row>
    <row r="264" ht="15.75" customHeight="1">
      <c r="G264" s="442"/>
      <c r="M264" s="231"/>
    </row>
    <row r="265" ht="15.75" customHeight="1">
      <c r="G265" s="442"/>
      <c r="M265" s="231"/>
    </row>
    <row r="266" ht="15.75" customHeight="1">
      <c r="G266" s="442"/>
      <c r="M266" s="231"/>
    </row>
    <row r="267" ht="15.75" customHeight="1">
      <c r="G267" s="442"/>
      <c r="M267" s="231"/>
    </row>
    <row r="268" ht="15.75" customHeight="1">
      <c r="G268" s="442"/>
      <c r="M268" s="231"/>
    </row>
    <row r="269" ht="15.75" customHeight="1">
      <c r="G269" s="442"/>
      <c r="M269" s="231"/>
    </row>
    <row r="270" ht="15.75" customHeight="1">
      <c r="G270" s="442"/>
      <c r="M270" s="231"/>
    </row>
    <row r="271" ht="15.75" customHeight="1">
      <c r="G271" s="442"/>
      <c r="M271" s="231"/>
    </row>
    <row r="272" ht="15.75" customHeight="1">
      <c r="G272" s="442"/>
      <c r="M272" s="231"/>
    </row>
    <row r="273" ht="15.75" customHeight="1">
      <c r="G273" s="442"/>
      <c r="M273" s="231"/>
    </row>
    <row r="274" ht="15.75" customHeight="1">
      <c r="G274" s="442"/>
      <c r="M274" s="231"/>
    </row>
    <row r="275" ht="15.75" customHeight="1">
      <c r="G275" s="442"/>
      <c r="M275" s="231"/>
    </row>
    <row r="276" ht="15.75" customHeight="1">
      <c r="G276" s="442"/>
      <c r="M276" s="231"/>
    </row>
    <row r="277" ht="15.75" customHeight="1">
      <c r="G277" s="442"/>
      <c r="M277" s="231"/>
    </row>
    <row r="278" ht="15.75" customHeight="1">
      <c r="G278" s="442"/>
      <c r="M278" s="231"/>
    </row>
    <row r="279" ht="15.75" customHeight="1">
      <c r="G279" s="442"/>
      <c r="M279" s="231"/>
    </row>
    <row r="280" ht="15.75" customHeight="1">
      <c r="G280" s="442"/>
      <c r="M280" s="231"/>
    </row>
    <row r="281" ht="15.75" customHeight="1">
      <c r="G281" s="442"/>
      <c r="M281" s="231"/>
    </row>
    <row r="282" ht="15.75" customHeight="1">
      <c r="G282" s="442"/>
      <c r="M282" s="231"/>
    </row>
    <row r="283" ht="15.75" customHeight="1">
      <c r="G283" s="442"/>
      <c r="M283" s="231"/>
    </row>
    <row r="284" ht="15.75" customHeight="1">
      <c r="G284" s="442"/>
      <c r="M284" s="231"/>
    </row>
    <row r="285" ht="15.75" customHeight="1">
      <c r="G285" s="442"/>
      <c r="M285" s="231"/>
    </row>
    <row r="286" ht="15.75" customHeight="1">
      <c r="G286" s="442"/>
      <c r="M286" s="231"/>
    </row>
    <row r="287" ht="15.75" customHeight="1">
      <c r="G287" s="442"/>
      <c r="M287" s="231"/>
    </row>
    <row r="288" ht="15.75" customHeight="1">
      <c r="G288" s="442"/>
      <c r="M288" s="231"/>
    </row>
    <row r="289" ht="15.75" customHeight="1">
      <c r="G289" s="442"/>
      <c r="M289" s="231"/>
    </row>
    <row r="290" ht="15.75" customHeight="1">
      <c r="G290" s="442"/>
      <c r="M290" s="231"/>
    </row>
    <row r="291" ht="15.75" customHeight="1">
      <c r="G291" s="442"/>
      <c r="M291" s="231"/>
    </row>
    <row r="292" ht="15.75" customHeight="1">
      <c r="G292" s="442"/>
      <c r="M292" s="231"/>
    </row>
    <row r="293" ht="15.75" customHeight="1">
      <c r="G293" s="442"/>
      <c r="M293" s="231"/>
    </row>
    <row r="294" ht="15.75" customHeight="1">
      <c r="G294" s="442"/>
      <c r="M294" s="231"/>
    </row>
    <row r="295" ht="15.75" customHeight="1">
      <c r="G295" s="442"/>
      <c r="M295" s="231"/>
    </row>
    <row r="296" ht="15.75" customHeight="1">
      <c r="G296" s="442"/>
      <c r="M296" s="231"/>
    </row>
    <row r="297" ht="15.75" customHeight="1">
      <c r="G297" s="442"/>
      <c r="M297" s="231"/>
    </row>
    <row r="298" ht="15.75" customHeight="1">
      <c r="G298" s="442"/>
      <c r="M298" s="231"/>
    </row>
    <row r="299" ht="15.75" customHeight="1">
      <c r="G299" s="442"/>
      <c r="M299" s="231"/>
    </row>
    <row r="300" ht="15.75" customHeight="1">
      <c r="G300" s="442"/>
      <c r="M300" s="231"/>
    </row>
    <row r="301" ht="15.75" customHeight="1">
      <c r="G301" s="442"/>
      <c r="M301" s="231"/>
    </row>
    <row r="302" ht="15.75" customHeight="1">
      <c r="G302" s="442"/>
      <c r="M302" s="231"/>
    </row>
    <row r="303" ht="15.75" customHeight="1">
      <c r="G303" s="442"/>
      <c r="M303" s="231"/>
    </row>
    <row r="304" ht="15.75" customHeight="1">
      <c r="G304" s="442"/>
      <c r="M304" s="231"/>
    </row>
    <row r="305" ht="15.75" customHeight="1">
      <c r="G305" s="442"/>
      <c r="M305" s="231"/>
    </row>
    <row r="306" ht="15.75" customHeight="1">
      <c r="G306" s="442"/>
      <c r="M306" s="231"/>
    </row>
    <row r="307" ht="15.75" customHeight="1">
      <c r="G307" s="442"/>
      <c r="M307" s="231"/>
    </row>
    <row r="308" ht="15.75" customHeight="1">
      <c r="G308" s="442"/>
      <c r="M308" s="231"/>
    </row>
    <row r="309" ht="15.75" customHeight="1">
      <c r="G309" s="442"/>
      <c r="M309" s="231"/>
    </row>
    <row r="310" ht="15.75" customHeight="1">
      <c r="G310" s="442"/>
      <c r="M310" s="231"/>
    </row>
    <row r="311" ht="15.75" customHeight="1">
      <c r="G311" s="442"/>
      <c r="M311" s="231"/>
    </row>
    <row r="312" ht="15.75" customHeight="1">
      <c r="G312" s="442"/>
      <c r="M312" s="231"/>
    </row>
    <row r="313" ht="15.75" customHeight="1">
      <c r="G313" s="442"/>
      <c r="M313" s="231"/>
    </row>
    <row r="314" ht="15.75" customHeight="1">
      <c r="G314" s="442"/>
      <c r="M314" s="231"/>
    </row>
    <row r="315" ht="15.75" customHeight="1">
      <c r="G315" s="442"/>
      <c r="M315" s="231"/>
    </row>
    <row r="316" ht="15.75" customHeight="1">
      <c r="G316" s="442"/>
      <c r="M316" s="231"/>
    </row>
    <row r="317" ht="15.75" customHeight="1">
      <c r="G317" s="442"/>
      <c r="M317" s="231"/>
    </row>
    <row r="318" ht="15.75" customHeight="1">
      <c r="G318" s="442"/>
      <c r="M318" s="231"/>
    </row>
    <row r="319" ht="15.75" customHeight="1">
      <c r="G319" s="442"/>
      <c r="M319" s="231"/>
    </row>
    <row r="320" ht="15.75" customHeight="1">
      <c r="G320" s="442"/>
      <c r="M320" s="231"/>
    </row>
    <row r="321" ht="15.75" customHeight="1">
      <c r="G321" s="442"/>
      <c r="M321" s="231"/>
    </row>
    <row r="322" ht="15.75" customHeight="1">
      <c r="G322" s="442"/>
      <c r="M322" s="231"/>
    </row>
    <row r="323" ht="15.75" customHeight="1">
      <c r="G323" s="442"/>
      <c r="M323" s="231"/>
    </row>
    <row r="324" ht="15.75" customHeight="1">
      <c r="G324" s="442"/>
      <c r="M324" s="231"/>
    </row>
    <row r="325" ht="15.75" customHeight="1">
      <c r="G325" s="442"/>
      <c r="M325" s="231"/>
    </row>
    <row r="326" ht="15.75" customHeight="1">
      <c r="G326" s="442"/>
      <c r="M326" s="231"/>
    </row>
    <row r="327" ht="15.75" customHeight="1">
      <c r="G327" s="442"/>
      <c r="M327" s="231"/>
    </row>
    <row r="328" ht="15.75" customHeight="1">
      <c r="G328" s="442"/>
      <c r="M328" s="231"/>
    </row>
    <row r="329" ht="15.75" customHeight="1">
      <c r="G329" s="442"/>
      <c r="M329" s="231"/>
    </row>
    <row r="330" ht="15.75" customHeight="1">
      <c r="G330" s="442"/>
      <c r="M330" s="231"/>
    </row>
    <row r="331" ht="15.75" customHeight="1">
      <c r="G331" s="442"/>
      <c r="M331" s="231"/>
    </row>
    <row r="332" ht="15.75" customHeight="1">
      <c r="G332" s="442"/>
      <c r="M332" s="231"/>
    </row>
    <row r="333" ht="15.75" customHeight="1">
      <c r="G333" s="442"/>
      <c r="M333" s="231"/>
    </row>
    <row r="334" ht="15.75" customHeight="1">
      <c r="G334" s="442"/>
      <c r="M334" s="231"/>
    </row>
    <row r="335" ht="15.75" customHeight="1">
      <c r="G335" s="442"/>
      <c r="M335" s="231"/>
    </row>
    <row r="336" ht="15.75" customHeight="1">
      <c r="G336" s="442"/>
      <c r="M336" s="231"/>
    </row>
    <row r="337" ht="15.75" customHeight="1">
      <c r="G337" s="442"/>
      <c r="M337" s="231"/>
    </row>
    <row r="338" ht="15.75" customHeight="1">
      <c r="G338" s="442"/>
      <c r="M338" s="231"/>
    </row>
    <row r="339" ht="15.75" customHeight="1">
      <c r="G339" s="442"/>
      <c r="M339" s="231"/>
    </row>
    <row r="340" ht="15.75" customHeight="1">
      <c r="G340" s="442"/>
      <c r="M340" s="231"/>
    </row>
    <row r="341" ht="15.75" customHeight="1">
      <c r="G341" s="442"/>
      <c r="M341" s="231"/>
    </row>
    <row r="342" ht="15.75" customHeight="1">
      <c r="G342" s="442"/>
      <c r="M342" s="231"/>
    </row>
    <row r="343" ht="15.75" customHeight="1">
      <c r="G343" s="442"/>
      <c r="M343" s="231"/>
    </row>
    <row r="344" ht="15.75" customHeight="1">
      <c r="G344" s="442"/>
      <c r="M344" s="231"/>
    </row>
    <row r="345" ht="15.75" customHeight="1">
      <c r="G345" s="442"/>
      <c r="M345" s="231"/>
    </row>
    <row r="346" ht="15.75" customHeight="1">
      <c r="G346" s="442"/>
      <c r="M346" s="231"/>
    </row>
    <row r="347" ht="15.75" customHeight="1">
      <c r="G347" s="442"/>
      <c r="M347" s="231"/>
    </row>
    <row r="348" ht="15.75" customHeight="1">
      <c r="G348" s="442"/>
      <c r="M348" s="231"/>
    </row>
    <row r="349" ht="15.75" customHeight="1">
      <c r="G349" s="442"/>
      <c r="M349" s="231"/>
    </row>
    <row r="350" ht="15.75" customHeight="1">
      <c r="G350" s="442"/>
      <c r="M350" s="231"/>
    </row>
    <row r="351" ht="15.75" customHeight="1">
      <c r="G351" s="442"/>
      <c r="M351" s="231"/>
    </row>
    <row r="352" ht="15.75" customHeight="1">
      <c r="G352" s="442"/>
      <c r="M352" s="231"/>
    </row>
    <row r="353" ht="15.75" customHeight="1">
      <c r="G353" s="442"/>
      <c r="M353" s="231"/>
    </row>
    <row r="354" ht="15.75" customHeight="1">
      <c r="G354" s="442"/>
      <c r="M354" s="231"/>
    </row>
    <row r="355" ht="15.75" customHeight="1">
      <c r="G355" s="442"/>
      <c r="M355" s="231"/>
    </row>
    <row r="356" ht="15.75" customHeight="1">
      <c r="G356" s="442"/>
      <c r="M356" s="231"/>
    </row>
    <row r="357" ht="15.75" customHeight="1">
      <c r="G357" s="442"/>
      <c r="M357" s="231"/>
    </row>
    <row r="358" ht="15.75" customHeight="1">
      <c r="G358" s="442"/>
      <c r="M358" s="231"/>
    </row>
    <row r="359" ht="15.75" customHeight="1">
      <c r="G359" s="442"/>
      <c r="M359" s="231"/>
    </row>
    <row r="360" ht="15.75" customHeight="1">
      <c r="G360" s="442"/>
      <c r="M360" s="231"/>
    </row>
    <row r="361" ht="15.75" customHeight="1">
      <c r="G361" s="442"/>
      <c r="M361" s="231"/>
    </row>
    <row r="362" ht="15.75" customHeight="1">
      <c r="G362" s="442"/>
      <c r="M362" s="231"/>
    </row>
    <row r="363" ht="15.75" customHeight="1">
      <c r="G363" s="442"/>
      <c r="M363" s="231"/>
    </row>
    <row r="364" ht="15.75" customHeight="1">
      <c r="G364" s="442"/>
      <c r="M364" s="231"/>
    </row>
    <row r="365" ht="15.75" customHeight="1">
      <c r="G365" s="442"/>
      <c r="M365" s="231"/>
    </row>
    <row r="366" ht="15.75" customHeight="1">
      <c r="G366" s="442"/>
      <c r="M366" s="231"/>
    </row>
    <row r="367" ht="15.75" customHeight="1">
      <c r="G367" s="442"/>
      <c r="M367" s="231"/>
    </row>
    <row r="368" ht="15.75" customHeight="1">
      <c r="G368" s="442"/>
      <c r="M368" s="231"/>
    </row>
    <row r="369" ht="15.75" customHeight="1">
      <c r="G369" s="442"/>
      <c r="M369" s="231"/>
    </row>
    <row r="370" ht="15.75" customHeight="1">
      <c r="G370" s="442"/>
      <c r="M370" s="231"/>
    </row>
    <row r="371" ht="15.75" customHeight="1">
      <c r="G371" s="442"/>
      <c r="M371" s="231"/>
    </row>
    <row r="372" ht="15.75" customHeight="1">
      <c r="G372" s="442"/>
      <c r="M372" s="231"/>
    </row>
    <row r="373" ht="15.75" customHeight="1">
      <c r="G373" s="442"/>
      <c r="M373" s="231"/>
    </row>
    <row r="374" ht="15.75" customHeight="1">
      <c r="G374" s="442"/>
      <c r="M374" s="231"/>
    </row>
    <row r="375" ht="15.75" customHeight="1">
      <c r="G375" s="442"/>
      <c r="M375" s="231"/>
    </row>
    <row r="376" ht="15.75" customHeight="1">
      <c r="G376" s="442"/>
      <c r="M376" s="231"/>
    </row>
    <row r="377" ht="15.75" customHeight="1">
      <c r="G377" s="442"/>
      <c r="M377" s="231"/>
    </row>
    <row r="378" ht="15.75" customHeight="1">
      <c r="G378" s="442"/>
      <c r="M378" s="231"/>
    </row>
    <row r="379" ht="15.75" customHeight="1">
      <c r="G379" s="442"/>
      <c r="M379" s="231"/>
    </row>
    <row r="380" ht="15.75" customHeight="1">
      <c r="G380" s="442"/>
      <c r="M380" s="231"/>
    </row>
    <row r="381" ht="15.75" customHeight="1">
      <c r="G381" s="442"/>
      <c r="M381" s="231"/>
    </row>
    <row r="382" ht="15.75" customHeight="1">
      <c r="G382" s="442"/>
      <c r="M382" s="231"/>
    </row>
    <row r="383" ht="15.75" customHeight="1">
      <c r="G383" s="442"/>
      <c r="M383" s="231"/>
    </row>
    <row r="384" ht="15.75" customHeight="1">
      <c r="G384" s="442"/>
      <c r="M384" s="231"/>
    </row>
    <row r="385" ht="15.75" customHeight="1">
      <c r="G385" s="442"/>
      <c r="M385" s="231"/>
    </row>
    <row r="386" ht="15.75" customHeight="1">
      <c r="G386" s="442"/>
      <c r="M386" s="231"/>
    </row>
    <row r="387" ht="15.75" customHeight="1">
      <c r="G387" s="442"/>
      <c r="M387" s="231"/>
    </row>
    <row r="388" ht="15.75" customHeight="1">
      <c r="G388" s="442"/>
      <c r="M388" s="231"/>
    </row>
    <row r="389" ht="15.75" customHeight="1">
      <c r="G389" s="442"/>
      <c r="M389" s="231"/>
    </row>
    <row r="390" ht="15.75" customHeight="1">
      <c r="G390" s="442"/>
      <c r="M390" s="231"/>
    </row>
    <row r="391" ht="15.75" customHeight="1">
      <c r="G391" s="442"/>
      <c r="M391" s="231"/>
    </row>
    <row r="392" ht="15.75" customHeight="1">
      <c r="G392" s="442"/>
      <c r="M392" s="231"/>
    </row>
    <row r="393" ht="15.75" customHeight="1">
      <c r="G393" s="442"/>
      <c r="M393" s="231"/>
    </row>
    <row r="394" ht="15.75" customHeight="1">
      <c r="G394" s="442"/>
      <c r="M394" s="231"/>
    </row>
    <row r="395" ht="15.75" customHeight="1">
      <c r="G395" s="442"/>
      <c r="M395" s="231"/>
    </row>
    <row r="396" ht="15.75" customHeight="1">
      <c r="G396" s="442"/>
      <c r="M396" s="231"/>
    </row>
    <row r="397" ht="15.75" customHeight="1">
      <c r="G397" s="442"/>
      <c r="M397" s="231"/>
    </row>
    <row r="398" ht="15.75" customHeight="1">
      <c r="G398" s="442"/>
      <c r="M398" s="231"/>
    </row>
    <row r="399" ht="15.75" customHeight="1">
      <c r="G399" s="442"/>
      <c r="M399" s="231"/>
    </row>
    <row r="400" ht="15.75" customHeight="1">
      <c r="G400" s="442"/>
      <c r="M400" s="231"/>
    </row>
    <row r="401" ht="15.75" customHeight="1">
      <c r="G401" s="442"/>
      <c r="M401" s="231"/>
    </row>
    <row r="402" ht="15.75" customHeight="1">
      <c r="G402" s="442"/>
      <c r="M402" s="231"/>
    </row>
    <row r="403" ht="15.75" customHeight="1">
      <c r="G403" s="442"/>
      <c r="M403" s="231"/>
    </row>
    <row r="404" ht="15.75" customHeight="1">
      <c r="G404" s="442"/>
      <c r="M404" s="231"/>
    </row>
    <row r="405" ht="15.75" customHeight="1">
      <c r="G405" s="442"/>
      <c r="M405" s="231"/>
    </row>
    <row r="406" ht="15.75" customHeight="1">
      <c r="G406" s="442"/>
      <c r="M406" s="231"/>
    </row>
    <row r="407" ht="15.75" customHeight="1">
      <c r="G407" s="442"/>
      <c r="M407" s="231"/>
    </row>
    <row r="408" ht="15.75" customHeight="1">
      <c r="G408" s="442"/>
      <c r="M408" s="231"/>
    </row>
    <row r="409" ht="15.75" customHeight="1">
      <c r="G409" s="442"/>
      <c r="M409" s="231"/>
    </row>
    <row r="410" ht="15.75" customHeight="1">
      <c r="G410" s="442"/>
      <c r="M410" s="231"/>
    </row>
    <row r="411" ht="15.75" customHeight="1">
      <c r="G411" s="442"/>
      <c r="M411" s="231"/>
    </row>
    <row r="412" ht="15.75" customHeight="1">
      <c r="G412" s="442"/>
      <c r="M412" s="231"/>
    </row>
    <row r="413" ht="15.75" customHeight="1">
      <c r="G413" s="442"/>
      <c r="M413" s="231"/>
    </row>
    <row r="414" ht="15.75" customHeight="1">
      <c r="G414" s="442"/>
      <c r="M414" s="231"/>
    </row>
    <row r="415" ht="15.75" customHeight="1">
      <c r="G415" s="442"/>
      <c r="M415" s="231"/>
    </row>
    <row r="416" ht="15.75" customHeight="1">
      <c r="G416" s="442"/>
      <c r="M416" s="231"/>
    </row>
    <row r="417" ht="15.75" customHeight="1">
      <c r="G417" s="442"/>
      <c r="M417" s="231"/>
    </row>
    <row r="418" ht="15.75" customHeight="1">
      <c r="G418" s="442"/>
      <c r="M418" s="231"/>
    </row>
    <row r="419" ht="15.75" customHeight="1">
      <c r="G419" s="442"/>
      <c r="M419" s="231"/>
    </row>
    <row r="420" ht="15.75" customHeight="1">
      <c r="G420" s="442"/>
      <c r="M420" s="231"/>
    </row>
    <row r="421" ht="15.75" customHeight="1">
      <c r="G421" s="442"/>
      <c r="M421" s="231"/>
    </row>
    <row r="422" ht="15.75" customHeight="1">
      <c r="G422" s="442"/>
      <c r="M422" s="231"/>
    </row>
    <row r="423" ht="15.75" customHeight="1">
      <c r="G423" s="442"/>
      <c r="M423" s="231"/>
    </row>
    <row r="424" ht="15.75" customHeight="1">
      <c r="G424" s="442"/>
      <c r="M424" s="231"/>
    </row>
    <row r="425" ht="15.75" customHeight="1">
      <c r="G425" s="442"/>
      <c r="M425" s="231"/>
    </row>
    <row r="426" ht="15.75" customHeight="1">
      <c r="G426" s="442"/>
      <c r="M426" s="231"/>
    </row>
    <row r="427" ht="15.75" customHeight="1">
      <c r="G427" s="442"/>
      <c r="M427" s="231"/>
    </row>
    <row r="428" ht="15.75" customHeight="1">
      <c r="G428" s="442"/>
      <c r="M428" s="231"/>
    </row>
    <row r="429" ht="15.75" customHeight="1">
      <c r="G429" s="442"/>
      <c r="M429" s="231"/>
    </row>
    <row r="430" ht="15.75" customHeight="1">
      <c r="G430" s="442"/>
      <c r="M430" s="231"/>
    </row>
    <row r="431" ht="15.75" customHeight="1">
      <c r="G431" s="442"/>
      <c r="M431" s="231"/>
    </row>
    <row r="432" ht="15.75" customHeight="1">
      <c r="G432" s="442"/>
      <c r="M432" s="231"/>
    </row>
    <row r="433" ht="15.75" customHeight="1">
      <c r="G433" s="442"/>
      <c r="M433" s="231"/>
    </row>
    <row r="434" ht="15.75" customHeight="1">
      <c r="G434" s="442"/>
      <c r="M434" s="231"/>
    </row>
    <row r="435" ht="15.75" customHeight="1">
      <c r="G435" s="442"/>
      <c r="M435" s="231"/>
    </row>
    <row r="436" ht="15.75" customHeight="1">
      <c r="G436" s="442"/>
      <c r="M436" s="231"/>
    </row>
    <row r="437" ht="15.75" customHeight="1">
      <c r="G437" s="442"/>
      <c r="M437" s="231"/>
    </row>
    <row r="438" ht="15.75" customHeight="1">
      <c r="G438" s="442"/>
      <c r="M438" s="231"/>
    </row>
    <row r="439" ht="15.75" customHeight="1">
      <c r="G439" s="442"/>
      <c r="M439" s="231"/>
    </row>
    <row r="440" ht="15.75" customHeight="1">
      <c r="G440" s="442"/>
      <c r="M440" s="231"/>
    </row>
    <row r="441" ht="15.75" customHeight="1">
      <c r="G441" s="442"/>
      <c r="M441" s="231"/>
    </row>
    <row r="442" ht="15.75" customHeight="1">
      <c r="G442" s="442"/>
      <c r="M442" s="231"/>
    </row>
    <row r="443" ht="15.75" customHeight="1">
      <c r="G443" s="442"/>
      <c r="M443" s="231"/>
    </row>
    <row r="444" ht="15.75" customHeight="1">
      <c r="G444" s="442"/>
      <c r="M444" s="231"/>
    </row>
    <row r="445" ht="15.75" customHeight="1">
      <c r="G445" s="442"/>
      <c r="M445" s="231"/>
    </row>
    <row r="446" ht="15.75" customHeight="1">
      <c r="G446" s="442"/>
      <c r="M446" s="231"/>
    </row>
    <row r="447" ht="15.75" customHeight="1">
      <c r="G447" s="442"/>
      <c r="M447" s="231"/>
    </row>
    <row r="448" ht="15.75" customHeight="1">
      <c r="G448" s="442"/>
      <c r="M448" s="231"/>
    </row>
    <row r="449" ht="15.75" customHeight="1">
      <c r="G449" s="442"/>
      <c r="M449" s="231"/>
    </row>
    <row r="450" ht="15.75" customHeight="1">
      <c r="G450" s="442"/>
      <c r="M450" s="231"/>
    </row>
    <row r="451" ht="15.75" customHeight="1">
      <c r="G451" s="442"/>
      <c r="M451" s="231"/>
    </row>
    <row r="452" ht="15.75" customHeight="1">
      <c r="G452" s="442"/>
      <c r="M452" s="231"/>
    </row>
    <row r="453" ht="15.75" customHeight="1">
      <c r="G453" s="442"/>
      <c r="M453" s="231"/>
    </row>
    <row r="454" ht="15.75" customHeight="1">
      <c r="G454" s="442"/>
      <c r="M454" s="231"/>
    </row>
    <row r="455" ht="15.75" customHeight="1">
      <c r="G455" s="442"/>
      <c r="M455" s="231"/>
    </row>
    <row r="456" ht="15.75" customHeight="1">
      <c r="G456" s="442"/>
      <c r="M456" s="231"/>
    </row>
    <row r="457" ht="15.75" customHeight="1">
      <c r="G457" s="442"/>
      <c r="M457" s="231"/>
    </row>
    <row r="458" ht="15.75" customHeight="1">
      <c r="G458" s="442"/>
      <c r="M458" s="231"/>
    </row>
    <row r="459" ht="15.75" customHeight="1">
      <c r="G459" s="442"/>
      <c r="M459" s="231"/>
    </row>
    <row r="460" ht="15.75" customHeight="1">
      <c r="G460" s="442"/>
      <c r="M460" s="231"/>
    </row>
    <row r="461" ht="15.75" customHeight="1">
      <c r="G461" s="442"/>
      <c r="M461" s="231"/>
    </row>
    <row r="462" ht="15.75" customHeight="1">
      <c r="G462" s="442"/>
      <c r="M462" s="231"/>
    </row>
    <row r="463" ht="15.75" customHeight="1">
      <c r="G463" s="442"/>
      <c r="M463" s="231"/>
    </row>
    <row r="464" ht="15.75" customHeight="1">
      <c r="G464" s="442"/>
      <c r="M464" s="231"/>
    </row>
    <row r="465" ht="15.75" customHeight="1">
      <c r="G465" s="442"/>
      <c r="M465" s="231"/>
    </row>
    <row r="466" ht="15.75" customHeight="1">
      <c r="G466" s="442"/>
      <c r="M466" s="231"/>
    </row>
    <row r="467" ht="15.75" customHeight="1">
      <c r="G467" s="442"/>
      <c r="M467" s="231"/>
    </row>
    <row r="468" ht="15.75" customHeight="1">
      <c r="G468" s="442"/>
      <c r="M468" s="231"/>
    </row>
    <row r="469" ht="15.75" customHeight="1">
      <c r="G469" s="442"/>
      <c r="M469" s="231"/>
    </row>
    <row r="470" ht="15.75" customHeight="1">
      <c r="G470" s="442"/>
      <c r="M470" s="231"/>
    </row>
    <row r="471" ht="15.75" customHeight="1">
      <c r="G471" s="442"/>
      <c r="M471" s="231"/>
    </row>
    <row r="472" ht="15.75" customHeight="1">
      <c r="G472" s="442"/>
      <c r="M472" s="231"/>
    </row>
    <row r="473" ht="15.75" customHeight="1">
      <c r="G473" s="442"/>
      <c r="M473" s="231"/>
    </row>
    <row r="474" ht="15.75" customHeight="1">
      <c r="G474" s="442"/>
      <c r="M474" s="231"/>
    </row>
    <row r="475" ht="15.75" customHeight="1">
      <c r="G475" s="442"/>
      <c r="M475" s="231"/>
    </row>
    <row r="476" ht="15.75" customHeight="1">
      <c r="G476" s="442"/>
      <c r="M476" s="231"/>
    </row>
    <row r="477" ht="15.75" customHeight="1">
      <c r="G477" s="442"/>
      <c r="M477" s="231"/>
    </row>
    <row r="478" ht="15.75" customHeight="1">
      <c r="G478" s="442"/>
      <c r="M478" s="231"/>
    </row>
    <row r="479" ht="15.75" customHeight="1">
      <c r="G479" s="442"/>
      <c r="M479" s="231"/>
    </row>
    <row r="480" ht="15.75" customHeight="1">
      <c r="G480" s="442"/>
      <c r="M480" s="231"/>
    </row>
    <row r="481" ht="15.75" customHeight="1">
      <c r="G481" s="442"/>
      <c r="M481" s="231"/>
    </row>
    <row r="482" ht="15.75" customHeight="1">
      <c r="G482" s="442"/>
      <c r="M482" s="231"/>
    </row>
    <row r="483" ht="15.75" customHeight="1">
      <c r="G483" s="442"/>
      <c r="M483" s="231"/>
    </row>
    <row r="484" ht="15.75" customHeight="1">
      <c r="G484" s="442"/>
      <c r="M484" s="231"/>
    </row>
    <row r="485" ht="15.75" customHeight="1">
      <c r="G485" s="442"/>
      <c r="M485" s="231"/>
    </row>
    <row r="486" ht="15.75" customHeight="1">
      <c r="G486" s="442"/>
      <c r="M486" s="231"/>
    </row>
    <row r="487" ht="15.75" customHeight="1">
      <c r="G487" s="442"/>
      <c r="M487" s="231"/>
    </row>
    <row r="488" ht="15.75" customHeight="1">
      <c r="G488" s="442"/>
      <c r="M488" s="231"/>
    </row>
    <row r="489" ht="15.75" customHeight="1">
      <c r="G489" s="442"/>
      <c r="M489" s="231"/>
    </row>
    <row r="490" ht="15.75" customHeight="1">
      <c r="G490" s="442"/>
      <c r="M490" s="231"/>
    </row>
    <row r="491" ht="15.75" customHeight="1">
      <c r="G491" s="442"/>
      <c r="M491" s="231"/>
    </row>
    <row r="492" ht="15.75" customHeight="1">
      <c r="G492" s="442"/>
      <c r="M492" s="231"/>
    </row>
    <row r="493" ht="15.75" customHeight="1">
      <c r="G493" s="442"/>
      <c r="M493" s="231"/>
    </row>
    <row r="494" ht="15.75" customHeight="1">
      <c r="G494" s="442"/>
      <c r="M494" s="231"/>
    </row>
    <row r="495" ht="15.75" customHeight="1">
      <c r="G495" s="442"/>
      <c r="M495" s="231"/>
    </row>
    <row r="496" ht="15.75" customHeight="1">
      <c r="G496" s="442"/>
      <c r="M496" s="231"/>
    </row>
    <row r="497" ht="15.75" customHeight="1">
      <c r="G497" s="442"/>
      <c r="M497" s="231"/>
    </row>
    <row r="498" ht="15.75" customHeight="1">
      <c r="G498" s="442"/>
      <c r="M498" s="231"/>
    </row>
    <row r="499" ht="15.75" customHeight="1">
      <c r="G499" s="442"/>
      <c r="M499" s="231"/>
    </row>
    <row r="500" ht="15.75" customHeight="1">
      <c r="G500" s="442"/>
      <c r="M500" s="231"/>
    </row>
    <row r="501" ht="15.75" customHeight="1">
      <c r="G501" s="442"/>
      <c r="M501" s="231"/>
    </row>
    <row r="502" ht="15.75" customHeight="1">
      <c r="G502" s="442"/>
      <c r="M502" s="231"/>
    </row>
    <row r="503" ht="15.75" customHeight="1">
      <c r="G503" s="442"/>
      <c r="M503" s="231"/>
    </row>
    <row r="504" ht="15.75" customHeight="1">
      <c r="G504" s="442"/>
      <c r="M504" s="231"/>
    </row>
    <row r="505" ht="15.75" customHeight="1">
      <c r="G505" s="442"/>
      <c r="M505" s="231"/>
    </row>
    <row r="506" ht="15.75" customHeight="1">
      <c r="G506" s="442"/>
      <c r="M506" s="231"/>
    </row>
    <row r="507" ht="15.75" customHeight="1">
      <c r="G507" s="442"/>
      <c r="M507" s="231"/>
    </row>
    <row r="508" ht="15.75" customHeight="1">
      <c r="G508" s="442"/>
      <c r="M508" s="231"/>
    </row>
    <row r="509" ht="15.75" customHeight="1">
      <c r="G509" s="442"/>
      <c r="M509" s="231"/>
    </row>
    <row r="510" ht="15.75" customHeight="1">
      <c r="G510" s="442"/>
      <c r="M510" s="231"/>
    </row>
    <row r="511" ht="15.75" customHeight="1">
      <c r="G511" s="442"/>
      <c r="M511" s="231"/>
    </row>
    <row r="512" ht="15.75" customHeight="1">
      <c r="G512" s="442"/>
      <c r="M512" s="231"/>
    </row>
    <row r="513" ht="15.75" customHeight="1">
      <c r="G513" s="442"/>
      <c r="M513" s="231"/>
    </row>
    <row r="514" ht="15.75" customHeight="1">
      <c r="G514" s="442"/>
      <c r="M514" s="231"/>
    </row>
    <row r="515" ht="15.75" customHeight="1">
      <c r="G515" s="442"/>
      <c r="M515" s="231"/>
    </row>
    <row r="516" ht="15.75" customHeight="1">
      <c r="G516" s="442"/>
      <c r="M516" s="231"/>
    </row>
    <row r="517" ht="15.75" customHeight="1">
      <c r="G517" s="442"/>
      <c r="M517" s="231"/>
    </row>
    <row r="518" ht="15.75" customHeight="1">
      <c r="G518" s="442"/>
      <c r="M518" s="231"/>
    </row>
    <row r="519" ht="15.75" customHeight="1">
      <c r="G519" s="442"/>
      <c r="M519" s="231"/>
    </row>
    <row r="520" ht="15.75" customHeight="1">
      <c r="G520" s="442"/>
      <c r="M520" s="231"/>
    </row>
    <row r="521" ht="15.75" customHeight="1">
      <c r="G521" s="442"/>
      <c r="M521" s="231"/>
    </row>
    <row r="522" ht="15.75" customHeight="1">
      <c r="G522" s="442"/>
      <c r="M522" s="231"/>
    </row>
    <row r="523" ht="15.75" customHeight="1">
      <c r="G523" s="442"/>
      <c r="M523" s="231"/>
    </row>
    <row r="524" ht="15.75" customHeight="1">
      <c r="G524" s="442"/>
      <c r="M524" s="231"/>
    </row>
    <row r="525" ht="15.75" customHeight="1">
      <c r="G525" s="442"/>
      <c r="M525" s="231"/>
    </row>
    <row r="526" ht="15.75" customHeight="1">
      <c r="G526" s="442"/>
      <c r="M526" s="231"/>
    </row>
    <row r="527" ht="15.75" customHeight="1">
      <c r="G527" s="442"/>
      <c r="M527" s="231"/>
    </row>
    <row r="528" ht="15.75" customHeight="1">
      <c r="G528" s="442"/>
      <c r="M528" s="231"/>
    </row>
    <row r="529" ht="15.75" customHeight="1">
      <c r="G529" s="442"/>
      <c r="M529" s="231"/>
    </row>
    <row r="530" ht="15.75" customHeight="1">
      <c r="G530" s="442"/>
      <c r="M530" s="231"/>
    </row>
    <row r="531" ht="15.75" customHeight="1">
      <c r="G531" s="442"/>
      <c r="M531" s="231"/>
    </row>
    <row r="532" ht="15.75" customHeight="1">
      <c r="G532" s="442"/>
      <c r="M532" s="231"/>
    </row>
    <row r="533" ht="15.75" customHeight="1">
      <c r="G533" s="442"/>
      <c r="M533" s="231"/>
    </row>
    <row r="534" ht="15.75" customHeight="1">
      <c r="G534" s="442"/>
      <c r="M534" s="231"/>
    </row>
    <row r="535" ht="15.75" customHeight="1">
      <c r="G535" s="442"/>
      <c r="M535" s="231"/>
    </row>
    <row r="536" ht="15.75" customHeight="1">
      <c r="G536" s="442"/>
      <c r="M536" s="231"/>
    </row>
    <row r="537" ht="15.75" customHeight="1">
      <c r="G537" s="442"/>
      <c r="M537" s="231"/>
    </row>
    <row r="538" ht="15.75" customHeight="1">
      <c r="G538" s="442"/>
      <c r="M538" s="231"/>
    </row>
    <row r="539" ht="15.75" customHeight="1">
      <c r="G539" s="442"/>
      <c r="M539" s="231"/>
    </row>
    <row r="540" ht="15.75" customHeight="1">
      <c r="G540" s="442"/>
      <c r="M540" s="231"/>
    </row>
    <row r="541" ht="15.75" customHeight="1">
      <c r="G541" s="442"/>
      <c r="M541" s="231"/>
    </row>
    <row r="542" ht="15.75" customHeight="1">
      <c r="G542" s="442"/>
      <c r="M542" s="231"/>
    </row>
    <row r="543" ht="15.75" customHeight="1">
      <c r="G543" s="442"/>
      <c r="M543" s="231"/>
    </row>
    <row r="544" ht="15.75" customHeight="1">
      <c r="G544" s="442"/>
      <c r="M544" s="231"/>
    </row>
    <row r="545" ht="15.75" customHeight="1">
      <c r="G545" s="442"/>
      <c r="M545" s="231"/>
    </row>
    <row r="546" ht="15.75" customHeight="1">
      <c r="G546" s="442"/>
      <c r="M546" s="231"/>
    </row>
    <row r="547" ht="15.75" customHeight="1">
      <c r="G547" s="442"/>
      <c r="M547" s="231"/>
    </row>
    <row r="548" ht="15.75" customHeight="1">
      <c r="G548" s="442"/>
      <c r="M548" s="231"/>
    </row>
    <row r="549" ht="15.75" customHeight="1">
      <c r="G549" s="442"/>
      <c r="M549" s="231"/>
    </row>
    <row r="550" ht="15.75" customHeight="1">
      <c r="G550" s="442"/>
      <c r="M550" s="231"/>
    </row>
    <row r="551" ht="15.75" customHeight="1">
      <c r="G551" s="442"/>
      <c r="M551" s="231"/>
    </row>
    <row r="552" ht="15.75" customHeight="1">
      <c r="G552" s="442"/>
      <c r="M552" s="231"/>
    </row>
    <row r="553" ht="15.75" customHeight="1">
      <c r="G553" s="442"/>
      <c r="M553" s="231"/>
    </row>
    <row r="554" ht="15.75" customHeight="1">
      <c r="G554" s="442"/>
      <c r="M554" s="231"/>
    </row>
    <row r="555" ht="15.75" customHeight="1">
      <c r="G555" s="442"/>
      <c r="M555" s="231"/>
    </row>
    <row r="556" ht="15.75" customHeight="1">
      <c r="G556" s="442"/>
      <c r="M556" s="231"/>
    </row>
    <row r="557" ht="15.75" customHeight="1">
      <c r="G557" s="442"/>
      <c r="M557" s="231"/>
    </row>
    <row r="558" ht="15.75" customHeight="1">
      <c r="G558" s="442"/>
      <c r="M558" s="231"/>
    </row>
    <row r="559" ht="15.75" customHeight="1">
      <c r="G559" s="442"/>
      <c r="M559" s="231"/>
    </row>
    <row r="560" ht="15.75" customHeight="1">
      <c r="G560" s="442"/>
      <c r="M560" s="231"/>
    </row>
    <row r="561" ht="15.75" customHeight="1">
      <c r="G561" s="442"/>
      <c r="M561" s="231"/>
    </row>
    <row r="562" ht="15.75" customHeight="1">
      <c r="G562" s="442"/>
      <c r="M562" s="231"/>
    </row>
    <row r="563" ht="15.75" customHeight="1">
      <c r="G563" s="442"/>
      <c r="M563" s="231"/>
    </row>
    <row r="564" ht="15.75" customHeight="1">
      <c r="G564" s="442"/>
      <c r="M564" s="231"/>
    </row>
    <row r="565" ht="15.75" customHeight="1">
      <c r="G565" s="442"/>
      <c r="M565" s="231"/>
    </row>
    <row r="566" ht="15.75" customHeight="1">
      <c r="G566" s="442"/>
      <c r="M566" s="231"/>
    </row>
    <row r="567" ht="15.75" customHeight="1">
      <c r="G567" s="442"/>
      <c r="M567" s="231"/>
    </row>
    <row r="568" ht="15.75" customHeight="1">
      <c r="G568" s="442"/>
      <c r="M568" s="231"/>
    </row>
    <row r="569" ht="15.75" customHeight="1">
      <c r="G569" s="442"/>
      <c r="M569" s="231"/>
    </row>
    <row r="570" ht="15.75" customHeight="1">
      <c r="G570" s="442"/>
      <c r="M570" s="231"/>
    </row>
    <row r="571" ht="15.75" customHeight="1">
      <c r="G571" s="442"/>
      <c r="M571" s="231"/>
    </row>
    <row r="572" ht="15.75" customHeight="1">
      <c r="G572" s="442"/>
      <c r="M572" s="231"/>
    </row>
    <row r="573" ht="15.75" customHeight="1">
      <c r="G573" s="442"/>
      <c r="M573" s="231"/>
    </row>
    <row r="574" ht="15.75" customHeight="1">
      <c r="G574" s="442"/>
      <c r="M574" s="231"/>
    </row>
    <row r="575" ht="15.75" customHeight="1">
      <c r="G575" s="442"/>
      <c r="M575" s="231"/>
    </row>
    <row r="576" ht="15.75" customHeight="1">
      <c r="G576" s="442"/>
      <c r="M576" s="231"/>
    </row>
    <row r="577" ht="15.75" customHeight="1">
      <c r="G577" s="442"/>
      <c r="M577" s="231"/>
    </row>
    <row r="578" ht="15.75" customHeight="1">
      <c r="G578" s="442"/>
      <c r="M578" s="231"/>
    </row>
    <row r="579" ht="15.75" customHeight="1">
      <c r="G579" s="442"/>
      <c r="M579" s="231"/>
    </row>
    <row r="580" ht="15.75" customHeight="1">
      <c r="G580" s="442"/>
      <c r="M580" s="231"/>
    </row>
    <row r="581" ht="15.75" customHeight="1">
      <c r="G581" s="442"/>
      <c r="M581" s="231"/>
    </row>
    <row r="582" ht="15.75" customHeight="1">
      <c r="G582" s="442"/>
      <c r="M582" s="231"/>
    </row>
    <row r="583" ht="15.75" customHeight="1">
      <c r="G583" s="442"/>
      <c r="M583" s="231"/>
    </row>
    <row r="584" ht="15.75" customHeight="1">
      <c r="G584" s="442"/>
      <c r="M584" s="231"/>
    </row>
    <row r="585" ht="15.75" customHeight="1">
      <c r="G585" s="442"/>
      <c r="M585" s="231"/>
    </row>
    <row r="586" ht="15.75" customHeight="1">
      <c r="G586" s="442"/>
      <c r="M586" s="231"/>
    </row>
    <row r="587" ht="15.75" customHeight="1">
      <c r="G587" s="442"/>
      <c r="M587" s="231"/>
    </row>
    <row r="588" ht="15.75" customHeight="1">
      <c r="G588" s="442"/>
      <c r="M588" s="231"/>
    </row>
    <row r="589" ht="15.75" customHeight="1">
      <c r="G589" s="442"/>
      <c r="M589" s="231"/>
    </row>
    <row r="590" ht="15.75" customHeight="1">
      <c r="G590" s="442"/>
      <c r="M590" s="231"/>
    </row>
    <row r="591" ht="15.75" customHeight="1">
      <c r="G591" s="442"/>
      <c r="M591" s="231"/>
    </row>
    <row r="592" ht="15.75" customHeight="1">
      <c r="G592" s="442"/>
      <c r="M592" s="231"/>
    </row>
    <row r="593" ht="15.75" customHeight="1">
      <c r="G593" s="442"/>
      <c r="M593" s="231"/>
    </row>
    <row r="594" ht="15.75" customHeight="1">
      <c r="G594" s="442"/>
      <c r="M594" s="231"/>
    </row>
    <row r="595" ht="15.75" customHeight="1">
      <c r="G595" s="442"/>
      <c r="M595" s="231"/>
    </row>
    <row r="596" ht="15.75" customHeight="1">
      <c r="G596" s="442"/>
      <c r="M596" s="231"/>
    </row>
    <row r="597" ht="15.75" customHeight="1">
      <c r="G597" s="442"/>
      <c r="M597" s="231"/>
    </row>
    <row r="598" ht="15.75" customHeight="1">
      <c r="G598" s="442"/>
      <c r="M598" s="231"/>
    </row>
    <row r="599" ht="15.75" customHeight="1">
      <c r="G599" s="442"/>
      <c r="M599" s="231"/>
    </row>
    <row r="600" ht="15.75" customHeight="1">
      <c r="G600" s="442"/>
      <c r="M600" s="231"/>
    </row>
    <row r="601" ht="15.75" customHeight="1">
      <c r="G601" s="442"/>
      <c r="M601" s="231"/>
    </row>
    <row r="602" ht="15.75" customHeight="1">
      <c r="G602" s="442"/>
      <c r="M602" s="231"/>
    </row>
    <row r="603" ht="15.75" customHeight="1">
      <c r="G603" s="442"/>
      <c r="M603" s="231"/>
    </row>
    <row r="604" ht="15.75" customHeight="1">
      <c r="G604" s="442"/>
      <c r="M604" s="231"/>
    </row>
    <row r="605" ht="15.75" customHeight="1">
      <c r="G605" s="442"/>
      <c r="M605" s="231"/>
    </row>
    <row r="606" ht="15.75" customHeight="1">
      <c r="G606" s="442"/>
      <c r="M606" s="231"/>
    </row>
    <row r="607" ht="15.75" customHeight="1">
      <c r="G607" s="442"/>
      <c r="M607" s="231"/>
    </row>
    <row r="608" ht="15.75" customHeight="1">
      <c r="G608" s="442"/>
      <c r="M608" s="231"/>
    </row>
    <row r="609" ht="15.75" customHeight="1">
      <c r="G609" s="442"/>
      <c r="M609" s="231"/>
    </row>
    <row r="610" ht="15.75" customHeight="1">
      <c r="G610" s="442"/>
      <c r="M610" s="231"/>
    </row>
    <row r="611" ht="15.75" customHeight="1">
      <c r="G611" s="442"/>
      <c r="M611" s="231"/>
    </row>
    <row r="612" ht="15.75" customHeight="1">
      <c r="G612" s="442"/>
      <c r="M612" s="231"/>
    </row>
    <row r="613" ht="15.75" customHeight="1">
      <c r="G613" s="442"/>
      <c r="M613" s="231"/>
    </row>
    <row r="614" ht="15.75" customHeight="1">
      <c r="G614" s="442"/>
      <c r="M614" s="231"/>
    </row>
    <row r="615" ht="15.75" customHeight="1">
      <c r="G615" s="442"/>
      <c r="M615" s="231"/>
    </row>
    <row r="616" ht="15.75" customHeight="1">
      <c r="G616" s="442"/>
      <c r="M616" s="231"/>
    </row>
    <row r="617" ht="15.75" customHeight="1">
      <c r="G617" s="442"/>
      <c r="M617" s="231"/>
    </row>
    <row r="618" ht="15.75" customHeight="1">
      <c r="G618" s="442"/>
      <c r="M618" s="231"/>
    </row>
    <row r="619" ht="15.75" customHeight="1">
      <c r="G619" s="442"/>
      <c r="M619" s="231"/>
    </row>
    <row r="620" ht="15.75" customHeight="1">
      <c r="G620" s="442"/>
      <c r="M620" s="231"/>
    </row>
    <row r="621" ht="15.75" customHeight="1">
      <c r="G621" s="442"/>
      <c r="M621" s="231"/>
    </row>
    <row r="622" ht="15.75" customHeight="1">
      <c r="G622" s="442"/>
      <c r="M622" s="231"/>
    </row>
    <row r="623" ht="15.75" customHeight="1">
      <c r="G623" s="442"/>
      <c r="M623" s="231"/>
    </row>
    <row r="624" ht="15.75" customHeight="1">
      <c r="G624" s="442"/>
      <c r="M624" s="231"/>
    </row>
    <row r="625" ht="15.75" customHeight="1">
      <c r="G625" s="442"/>
      <c r="M625" s="231"/>
    </row>
    <row r="626" ht="15.75" customHeight="1">
      <c r="G626" s="442"/>
      <c r="M626" s="231"/>
    </row>
    <row r="627" ht="15.75" customHeight="1">
      <c r="G627" s="442"/>
      <c r="M627" s="231"/>
    </row>
    <row r="628" ht="15.75" customHeight="1">
      <c r="G628" s="442"/>
      <c r="M628" s="231"/>
    </row>
    <row r="629" ht="15.75" customHeight="1">
      <c r="G629" s="442"/>
      <c r="M629" s="231"/>
    </row>
    <row r="630" ht="15.75" customHeight="1">
      <c r="G630" s="442"/>
      <c r="M630" s="231"/>
    </row>
    <row r="631" ht="15.75" customHeight="1">
      <c r="G631" s="442"/>
      <c r="M631" s="231"/>
    </row>
    <row r="632" ht="15.75" customHeight="1">
      <c r="G632" s="442"/>
      <c r="M632" s="231"/>
    </row>
    <row r="633" ht="15.75" customHeight="1">
      <c r="G633" s="442"/>
      <c r="M633" s="231"/>
    </row>
    <row r="634" ht="15.75" customHeight="1">
      <c r="G634" s="442"/>
      <c r="M634" s="231"/>
    </row>
    <row r="635" ht="15.75" customHeight="1">
      <c r="G635" s="442"/>
      <c r="M635" s="231"/>
    </row>
    <row r="636" ht="15.75" customHeight="1">
      <c r="G636" s="442"/>
      <c r="M636" s="231"/>
    </row>
    <row r="637" ht="15.75" customHeight="1">
      <c r="G637" s="442"/>
      <c r="M637" s="231"/>
    </row>
    <row r="638" ht="15.75" customHeight="1">
      <c r="G638" s="442"/>
      <c r="M638" s="231"/>
    </row>
    <row r="639" ht="15.75" customHeight="1">
      <c r="G639" s="442"/>
      <c r="M639" s="231"/>
    </row>
    <row r="640" ht="15.75" customHeight="1">
      <c r="G640" s="442"/>
      <c r="M640" s="231"/>
    </row>
    <row r="641" ht="15.75" customHeight="1">
      <c r="G641" s="442"/>
      <c r="M641" s="231"/>
    </row>
    <row r="642" ht="15.75" customHeight="1">
      <c r="G642" s="442"/>
      <c r="M642" s="231"/>
    </row>
    <row r="643" ht="15.75" customHeight="1">
      <c r="G643" s="442"/>
      <c r="M643" s="231"/>
    </row>
    <row r="644" ht="15.75" customHeight="1">
      <c r="G644" s="442"/>
      <c r="M644" s="231"/>
    </row>
    <row r="645" ht="15.75" customHeight="1">
      <c r="G645" s="442"/>
      <c r="M645" s="231"/>
    </row>
    <row r="646" ht="15.75" customHeight="1">
      <c r="G646" s="442"/>
      <c r="M646" s="231"/>
    </row>
    <row r="647" ht="15.75" customHeight="1">
      <c r="G647" s="442"/>
      <c r="M647" s="231"/>
    </row>
    <row r="648" ht="15.75" customHeight="1">
      <c r="G648" s="442"/>
      <c r="M648" s="231"/>
    </row>
    <row r="649" ht="15.75" customHeight="1">
      <c r="G649" s="442"/>
      <c r="M649" s="231"/>
    </row>
    <row r="650" ht="15.75" customHeight="1">
      <c r="G650" s="442"/>
      <c r="M650" s="231"/>
    </row>
    <row r="651" ht="15.75" customHeight="1">
      <c r="G651" s="442"/>
      <c r="M651" s="231"/>
    </row>
    <row r="652" ht="15.75" customHeight="1">
      <c r="G652" s="442"/>
      <c r="M652" s="231"/>
    </row>
    <row r="653" ht="15.75" customHeight="1">
      <c r="G653" s="442"/>
      <c r="M653" s="231"/>
    </row>
    <row r="654" ht="15.75" customHeight="1">
      <c r="G654" s="442"/>
      <c r="M654" s="231"/>
    </row>
    <row r="655" ht="15.75" customHeight="1">
      <c r="G655" s="442"/>
      <c r="M655" s="231"/>
    </row>
    <row r="656" ht="15.75" customHeight="1">
      <c r="G656" s="442"/>
      <c r="M656" s="231"/>
    </row>
    <row r="657" ht="15.75" customHeight="1">
      <c r="G657" s="442"/>
      <c r="M657" s="231"/>
    </row>
    <row r="658" ht="15.75" customHeight="1">
      <c r="G658" s="442"/>
      <c r="M658" s="231"/>
    </row>
    <row r="659" ht="15.75" customHeight="1">
      <c r="G659" s="442"/>
      <c r="M659" s="231"/>
    </row>
    <row r="660" ht="15.75" customHeight="1">
      <c r="G660" s="442"/>
      <c r="M660" s="231"/>
    </row>
    <row r="661" ht="15.75" customHeight="1">
      <c r="G661" s="442"/>
      <c r="M661" s="231"/>
    </row>
    <row r="662" ht="15.75" customHeight="1">
      <c r="G662" s="442"/>
      <c r="M662" s="231"/>
    </row>
    <row r="663" ht="15.75" customHeight="1">
      <c r="G663" s="442"/>
      <c r="M663" s="231"/>
    </row>
    <row r="664" ht="15.75" customHeight="1">
      <c r="G664" s="442"/>
      <c r="M664" s="231"/>
    </row>
    <row r="665" ht="15.75" customHeight="1">
      <c r="G665" s="442"/>
      <c r="M665" s="231"/>
    </row>
    <row r="666" ht="15.75" customHeight="1">
      <c r="G666" s="442"/>
      <c r="M666" s="231"/>
    </row>
    <row r="667" ht="15.75" customHeight="1">
      <c r="G667" s="442"/>
      <c r="M667" s="231"/>
    </row>
    <row r="668" ht="15.75" customHeight="1">
      <c r="G668" s="442"/>
      <c r="M668" s="231"/>
    </row>
    <row r="669" ht="15.75" customHeight="1">
      <c r="G669" s="442"/>
      <c r="M669" s="231"/>
    </row>
    <row r="670" ht="15.75" customHeight="1">
      <c r="G670" s="442"/>
      <c r="M670" s="231"/>
    </row>
    <row r="671" ht="15.75" customHeight="1">
      <c r="G671" s="442"/>
      <c r="M671" s="231"/>
    </row>
    <row r="672" ht="15.75" customHeight="1">
      <c r="G672" s="442"/>
      <c r="M672" s="231"/>
    </row>
    <row r="673" ht="15.75" customHeight="1">
      <c r="G673" s="442"/>
      <c r="M673" s="231"/>
    </row>
    <row r="674" ht="15.75" customHeight="1">
      <c r="G674" s="442"/>
      <c r="M674" s="231"/>
    </row>
    <row r="675" ht="15.75" customHeight="1">
      <c r="G675" s="442"/>
      <c r="M675" s="231"/>
    </row>
    <row r="676" ht="15.75" customHeight="1">
      <c r="G676" s="442"/>
      <c r="M676" s="231"/>
    </row>
    <row r="677" ht="15.75" customHeight="1">
      <c r="G677" s="442"/>
      <c r="M677" s="231"/>
    </row>
    <row r="678" ht="15.75" customHeight="1">
      <c r="G678" s="442"/>
      <c r="M678" s="231"/>
    </row>
    <row r="679" ht="15.75" customHeight="1">
      <c r="G679" s="442"/>
      <c r="M679" s="231"/>
    </row>
    <row r="680" ht="15.75" customHeight="1">
      <c r="G680" s="442"/>
      <c r="M680" s="231"/>
    </row>
    <row r="681" ht="15.75" customHeight="1">
      <c r="G681" s="442"/>
      <c r="M681" s="231"/>
    </row>
    <row r="682" ht="15.75" customHeight="1">
      <c r="G682" s="442"/>
      <c r="M682" s="231"/>
    </row>
    <row r="683" ht="15.75" customHeight="1">
      <c r="G683" s="442"/>
      <c r="M683" s="231"/>
    </row>
    <row r="684" ht="15.75" customHeight="1">
      <c r="G684" s="442"/>
      <c r="M684" s="231"/>
    </row>
    <row r="685" ht="15.75" customHeight="1">
      <c r="G685" s="442"/>
      <c r="M685" s="231"/>
    </row>
    <row r="686" ht="15.75" customHeight="1">
      <c r="G686" s="442"/>
      <c r="M686" s="231"/>
    </row>
    <row r="687" ht="15.75" customHeight="1">
      <c r="G687" s="442"/>
      <c r="M687" s="231"/>
    </row>
    <row r="688" ht="15.75" customHeight="1">
      <c r="G688" s="442"/>
      <c r="M688" s="231"/>
    </row>
    <row r="689" ht="15.75" customHeight="1">
      <c r="G689" s="442"/>
      <c r="M689" s="231"/>
    </row>
    <row r="690" ht="15.75" customHeight="1">
      <c r="G690" s="442"/>
      <c r="M690" s="231"/>
    </row>
    <row r="691" ht="15.75" customHeight="1">
      <c r="G691" s="442"/>
      <c r="M691" s="231"/>
    </row>
    <row r="692" ht="15.75" customHeight="1">
      <c r="G692" s="442"/>
      <c r="M692" s="231"/>
    </row>
    <row r="693" ht="15.75" customHeight="1">
      <c r="G693" s="442"/>
      <c r="M693" s="231"/>
    </row>
    <row r="694" ht="15.75" customHeight="1">
      <c r="G694" s="442"/>
      <c r="M694" s="231"/>
    </row>
    <row r="695" ht="15.75" customHeight="1">
      <c r="G695" s="442"/>
      <c r="M695" s="231"/>
    </row>
    <row r="696" ht="15.75" customHeight="1">
      <c r="G696" s="442"/>
      <c r="M696" s="231"/>
    </row>
    <row r="697" ht="15.75" customHeight="1">
      <c r="G697" s="442"/>
      <c r="M697" s="231"/>
    </row>
    <row r="698" ht="15.75" customHeight="1">
      <c r="G698" s="442"/>
      <c r="M698" s="231"/>
    </row>
    <row r="699" ht="15.75" customHeight="1">
      <c r="G699" s="442"/>
      <c r="M699" s="231"/>
    </row>
    <row r="700" ht="15.75" customHeight="1">
      <c r="G700" s="442"/>
      <c r="M700" s="231"/>
    </row>
    <row r="701" ht="15.75" customHeight="1">
      <c r="G701" s="442"/>
      <c r="M701" s="231"/>
    </row>
    <row r="702" ht="15.75" customHeight="1">
      <c r="G702" s="442"/>
      <c r="M702" s="231"/>
    </row>
    <row r="703" ht="15.75" customHeight="1">
      <c r="G703" s="442"/>
      <c r="M703" s="231"/>
    </row>
    <row r="704" ht="15.75" customHeight="1">
      <c r="G704" s="442"/>
      <c r="M704" s="231"/>
    </row>
    <row r="705" ht="15.75" customHeight="1">
      <c r="G705" s="442"/>
      <c r="M705" s="231"/>
    </row>
    <row r="706" ht="15.75" customHeight="1">
      <c r="G706" s="442"/>
      <c r="M706" s="231"/>
    </row>
    <row r="707" ht="15.75" customHeight="1">
      <c r="G707" s="442"/>
      <c r="M707" s="231"/>
    </row>
    <row r="708" ht="15.75" customHeight="1">
      <c r="G708" s="442"/>
      <c r="M708" s="231"/>
    </row>
    <row r="709" ht="15.75" customHeight="1">
      <c r="G709" s="442"/>
      <c r="M709" s="231"/>
    </row>
    <row r="710" ht="15.75" customHeight="1">
      <c r="G710" s="442"/>
      <c r="M710" s="231"/>
    </row>
    <row r="711" ht="15.75" customHeight="1">
      <c r="G711" s="442"/>
      <c r="M711" s="231"/>
    </row>
    <row r="712" ht="15.75" customHeight="1">
      <c r="G712" s="442"/>
      <c r="M712" s="231"/>
    </row>
    <row r="713" ht="15.75" customHeight="1">
      <c r="G713" s="442"/>
      <c r="M713" s="231"/>
    </row>
    <row r="714" ht="15.75" customHeight="1">
      <c r="G714" s="442"/>
      <c r="M714" s="231"/>
    </row>
    <row r="715" ht="15.75" customHeight="1">
      <c r="G715" s="442"/>
      <c r="M715" s="231"/>
    </row>
    <row r="716" ht="15.75" customHeight="1">
      <c r="G716" s="442"/>
      <c r="M716" s="231"/>
    </row>
    <row r="717" ht="15.75" customHeight="1">
      <c r="G717" s="442"/>
      <c r="M717" s="231"/>
    </row>
    <row r="718" ht="15.75" customHeight="1">
      <c r="G718" s="442"/>
      <c r="M718" s="231"/>
    </row>
    <row r="719" ht="15.75" customHeight="1">
      <c r="G719" s="442"/>
      <c r="M719" s="231"/>
    </row>
    <row r="720" ht="15.75" customHeight="1">
      <c r="G720" s="442"/>
      <c r="M720" s="231"/>
    </row>
    <row r="721" ht="15.75" customHeight="1">
      <c r="G721" s="442"/>
      <c r="M721" s="231"/>
    </row>
    <row r="722" ht="15.75" customHeight="1">
      <c r="G722" s="442"/>
      <c r="M722" s="231"/>
    </row>
    <row r="723" ht="15.75" customHeight="1">
      <c r="G723" s="442"/>
      <c r="M723" s="231"/>
    </row>
    <row r="724" ht="15.75" customHeight="1">
      <c r="G724" s="442"/>
      <c r="M724" s="231"/>
    </row>
    <row r="725" ht="15.75" customHeight="1">
      <c r="G725" s="442"/>
      <c r="M725" s="231"/>
    </row>
    <row r="726" ht="15.75" customHeight="1">
      <c r="G726" s="442"/>
      <c r="M726" s="231"/>
    </row>
    <row r="727" ht="15.75" customHeight="1">
      <c r="G727" s="442"/>
      <c r="M727" s="231"/>
    </row>
    <row r="728" ht="15.75" customHeight="1">
      <c r="G728" s="442"/>
      <c r="M728" s="231"/>
    </row>
    <row r="729" ht="15.75" customHeight="1">
      <c r="G729" s="442"/>
      <c r="M729" s="231"/>
    </row>
    <row r="730" ht="15.75" customHeight="1">
      <c r="G730" s="442"/>
      <c r="M730" s="231"/>
    </row>
    <row r="731" ht="15.75" customHeight="1">
      <c r="G731" s="442"/>
      <c r="M731" s="231"/>
    </row>
    <row r="732" ht="15.75" customHeight="1">
      <c r="G732" s="442"/>
      <c r="M732" s="231"/>
    </row>
    <row r="733" ht="15.75" customHeight="1">
      <c r="G733" s="442"/>
      <c r="M733" s="231"/>
    </row>
    <row r="734" ht="15.75" customHeight="1">
      <c r="G734" s="442"/>
      <c r="M734" s="231"/>
    </row>
    <row r="735" ht="15.75" customHeight="1">
      <c r="G735" s="442"/>
      <c r="M735" s="231"/>
    </row>
    <row r="736" ht="15.75" customHeight="1">
      <c r="G736" s="442"/>
      <c r="M736" s="231"/>
    </row>
    <row r="737" ht="15.75" customHeight="1">
      <c r="G737" s="442"/>
      <c r="M737" s="231"/>
    </row>
    <row r="738" ht="15.75" customHeight="1">
      <c r="G738" s="442"/>
      <c r="M738" s="231"/>
    </row>
    <row r="739" ht="15.75" customHeight="1">
      <c r="G739" s="442"/>
      <c r="M739" s="231"/>
    </row>
    <row r="740" ht="15.75" customHeight="1">
      <c r="G740" s="442"/>
      <c r="M740" s="231"/>
    </row>
    <row r="741" ht="15.75" customHeight="1">
      <c r="G741" s="442"/>
      <c r="M741" s="231"/>
    </row>
    <row r="742" ht="15.75" customHeight="1">
      <c r="G742" s="442"/>
      <c r="M742" s="231"/>
    </row>
    <row r="743" ht="15.75" customHeight="1">
      <c r="G743" s="442"/>
      <c r="M743" s="231"/>
    </row>
    <row r="744" ht="15.75" customHeight="1">
      <c r="G744" s="442"/>
      <c r="M744" s="231"/>
    </row>
    <row r="745" ht="15.75" customHeight="1">
      <c r="G745" s="442"/>
      <c r="M745" s="231"/>
    </row>
    <row r="746" ht="15.75" customHeight="1">
      <c r="G746" s="442"/>
      <c r="M746" s="231"/>
    </row>
    <row r="747" ht="15.75" customHeight="1">
      <c r="G747" s="442"/>
      <c r="M747" s="231"/>
    </row>
    <row r="748" ht="15.75" customHeight="1">
      <c r="G748" s="442"/>
      <c r="M748" s="231"/>
    </row>
    <row r="749" ht="15.75" customHeight="1">
      <c r="G749" s="442"/>
      <c r="M749" s="231"/>
    </row>
    <row r="750" ht="15.75" customHeight="1">
      <c r="G750" s="442"/>
      <c r="M750" s="231"/>
    </row>
    <row r="751" ht="15.75" customHeight="1">
      <c r="G751" s="442"/>
      <c r="M751" s="231"/>
    </row>
    <row r="752" ht="15.75" customHeight="1">
      <c r="G752" s="442"/>
      <c r="M752" s="231"/>
    </row>
    <row r="753" ht="15.75" customHeight="1">
      <c r="G753" s="442"/>
      <c r="M753" s="231"/>
    </row>
    <row r="754" ht="15.75" customHeight="1">
      <c r="G754" s="442"/>
      <c r="M754" s="231"/>
    </row>
    <row r="755" ht="15.75" customHeight="1">
      <c r="G755" s="442"/>
      <c r="M755" s="231"/>
    </row>
    <row r="756" ht="15.75" customHeight="1">
      <c r="G756" s="442"/>
      <c r="M756" s="231"/>
    </row>
    <row r="757" ht="15.75" customHeight="1">
      <c r="G757" s="442"/>
      <c r="M757" s="231"/>
    </row>
    <row r="758" ht="15.75" customHeight="1">
      <c r="G758" s="442"/>
      <c r="M758" s="231"/>
    </row>
    <row r="759" ht="15.75" customHeight="1">
      <c r="G759" s="442"/>
      <c r="M759" s="231"/>
    </row>
    <row r="760" ht="15.75" customHeight="1">
      <c r="G760" s="442"/>
      <c r="M760" s="231"/>
    </row>
    <row r="761" ht="15.75" customHeight="1">
      <c r="G761" s="442"/>
      <c r="M761" s="231"/>
    </row>
    <row r="762" ht="15.75" customHeight="1">
      <c r="G762" s="442"/>
      <c r="M762" s="231"/>
    </row>
    <row r="763" ht="15.75" customHeight="1">
      <c r="G763" s="442"/>
      <c r="M763" s="231"/>
    </row>
    <row r="764" ht="15.75" customHeight="1">
      <c r="G764" s="442"/>
      <c r="M764" s="231"/>
    </row>
    <row r="765" ht="15.75" customHeight="1">
      <c r="G765" s="442"/>
      <c r="M765" s="231"/>
    </row>
    <row r="766" ht="15.75" customHeight="1">
      <c r="G766" s="442"/>
      <c r="M766" s="231"/>
    </row>
    <row r="767" ht="15.75" customHeight="1">
      <c r="G767" s="442"/>
      <c r="M767" s="231"/>
    </row>
    <row r="768" ht="15.75" customHeight="1">
      <c r="G768" s="442"/>
      <c r="M768" s="231"/>
    </row>
    <row r="769" ht="15.75" customHeight="1">
      <c r="G769" s="442"/>
      <c r="M769" s="231"/>
    </row>
    <row r="770" ht="15.75" customHeight="1">
      <c r="G770" s="442"/>
      <c r="M770" s="231"/>
    </row>
    <row r="771" ht="15.75" customHeight="1">
      <c r="G771" s="442"/>
      <c r="M771" s="231"/>
    </row>
    <row r="772" ht="15.75" customHeight="1">
      <c r="G772" s="442"/>
      <c r="M772" s="231"/>
    </row>
    <row r="773" ht="15.75" customHeight="1">
      <c r="G773" s="442"/>
      <c r="M773" s="231"/>
    </row>
    <row r="774" ht="15.75" customHeight="1">
      <c r="G774" s="442"/>
      <c r="M774" s="231"/>
    </row>
    <row r="775" ht="15.75" customHeight="1">
      <c r="G775" s="442"/>
      <c r="M775" s="231"/>
    </row>
    <row r="776" ht="15.75" customHeight="1">
      <c r="G776" s="442"/>
      <c r="M776" s="231"/>
    </row>
    <row r="777" ht="15.75" customHeight="1">
      <c r="G777" s="442"/>
      <c r="M777" s="231"/>
    </row>
    <row r="778" ht="15.75" customHeight="1">
      <c r="G778" s="442"/>
      <c r="M778" s="231"/>
    </row>
    <row r="779" ht="15.75" customHeight="1">
      <c r="G779" s="442"/>
      <c r="M779" s="231"/>
    </row>
    <row r="780" ht="15.75" customHeight="1">
      <c r="G780" s="442"/>
      <c r="M780" s="231"/>
    </row>
    <row r="781" ht="15.75" customHeight="1">
      <c r="G781" s="442"/>
      <c r="M781" s="231"/>
    </row>
    <row r="782" ht="15.75" customHeight="1">
      <c r="G782" s="442"/>
      <c r="M782" s="231"/>
    </row>
    <row r="783" ht="15.75" customHeight="1">
      <c r="G783" s="442"/>
      <c r="M783" s="231"/>
    </row>
    <row r="784" ht="15.75" customHeight="1">
      <c r="G784" s="442"/>
      <c r="M784" s="231"/>
    </row>
    <row r="785" ht="15.75" customHeight="1">
      <c r="G785" s="442"/>
      <c r="M785" s="231"/>
    </row>
    <row r="786" ht="15.75" customHeight="1">
      <c r="G786" s="442"/>
      <c r="M786" s="231"/>
    </row>
    <row r="787" ht="15.75" customHeight="1">
      <c r="G787" s="442"/>
      <c r="M787" s="231"/>
    </row>
    <row r="788" ht="15.75" customHeight="1">
      <c r="G788" s="442"/>
      <c r="M788" s="231"/>
    </row>
    <row r="789" ht="15.75" customHeight="1">
      <c r="G789" s="442"/>
      <c r="M789" s="231"/>
    </row>
    <row r="790" ht="15.75" customHeight="1">
      <c r="G790" s="442"/>
      <c r="M790" s="231"/>
    </row>
    <row r="791" ht="15.75" customHeight="1">
      <c r="G791" s="442"/>
      <c r="M791" s="231"/>
    </row>
    <row r="792" ht="15.75" customHeight="1">
      <c r="G792" s="442"/>
      <c r="M792" s="231"/>
    </row>
    <row r="793" ht="15.75" customHeight="1">
      <c r="G793" s="442"/>
      <c r="M793" s="231"/>
    </row>
    <row r="794" ht="15.75" customHeight="1">
      <c r="G794" s="442"/>
      <c r="M794" s="231"/>
    </row>
    <row r="795" ht="15.75" customHeight="1">
      <c r="G795" s="442"/>
      <c r="M795" s="231"/>
    </row>
    <row r="796" ht="15.75" customHeight="1">
      <c r="G796" s="442"/>
      <c r="M796" s="231"/>
    </row>
    <row r="797" ht="15.75" customHeight="1">
      <c r="G797" s="442"/>
      <c r="M797" s="231"/>
    </row>
    <row r="798" ht="15.75" customHeight="1">
      <c r="G798" s="442"/>
      <c r="M798" s="231"/>
    </row>
    <row r="799" ht="15.75" customHeight="1">
      <c r="G799" s="442"/>
      <c r="M799" s="231"/>
    </row>
    <row r="800" ht="15.75" customHeight="1">
      <c r="G800" s="442"/>
      <c r="M800" s="231"/>
    </row>
    <row r="801" ht="15.75" customHeight="1">
      <c r="G801" s="442"/>
      <c r="M801" s="231"/>
    </row>
    <row r="802" ht="15.75" customHeight="1">
      <c r="G802" s="442"/>
      <c r="M802" s="231"/>
    </row>
    <row r="803" ht="15.75" customHeight="1">
      <c r="G803" s="442"/>
      <c r="M803" s="231"/>
    </row>
    <row r="804" ht="15.75" customHeight="1">
      <c r="G804" s="442"/>
      <c r="M804" s="231"/>
    </row>
    <row r="805" ht="15.75" customHeight="1">
      <c r="G805" s="442"/>
      <c r="M805" s="231"/>
    </row>
    <row r="806" ht="15.75" customHeight="1">
      <c r="G806" s="442"/>
      <c r="M806" s="231"/>
    </row>
    <row r="807" ht="15.75" customHeight="1">
      <c r="G807" s="442"/>
      <c r="M807" s="231"/>
    </row>
    <row r="808" ht="15.75" customHeight="1">
      <c r="G808" s="442"/>
      <c r="M808" s="231"/>
    </row>
    <row r="809" ht="15.75" customHeight="1">
      <c r="G809" s="442"/>
      <c r="M809" s="231"/>
    </row>
    <row r="810" ht="15.75" customHeight="1">
      <c r="G810" s="442"/>
      <c r="M810" s="231"/>
    </row>
    <row r="811" ht="15.75" customHeight="1">
      <c r="G811" s="442"/>
      <c r="M811" s="231"/>
    </row>
    <row r="812" ht="15.75" customHeight="1">
      <c r="G812" s="442"/>
      <c r="M812" s="231"/>
    </row>
    <row r="813" ht="15.75" customHeight="1">
      <c r="G813" s="442"/>
      <c r="M813" s="231"/>
    </row>
    <row r="814" ht="15.75" customHeight="1">
      <c r="G814" s="442"/>
      <c r="M814" s="231"/>
    </row>
    <row r="815" ht="15.75" customHeight="1">
      <c r="G815" s="442"/>
      <c r="M815" s="231"/>
    </row>
    <row r="816" ht="15.75" customHeight="1">
      <c r="G816" s="442"/>
      <c r="M816" s="231"/>
    </row>
    <row r="817" ht="15.75" customHeight="1">
      <c r="G817" s="442"/>
      <c r="M817" s="231"/>
    </row>
    <row r="818" ht="15.75" customHeight="1">
      <c r="G818" s="442"/>
      <c r="M818" s="231"/>
    </row>
    <row r="819" ht="15.75" customHeight="1">
      <c r="G819" s="442"/>
      <c r="M819" s="231"/>
    </row>
    <row r="820" ht="15.75" customHeight="1">
      <c r="G820" s="442"/>
      <c r="M820" s="231"/>
    </row>
    <row r="821" ht="15.75" customHeight="1">
      <c r="G821" s="442"/>
      <c r="M821" s="231"/>
    </row>
    <row r="822" ht="15.75" customHeight="1">
      <c r="G822" s="442"/>
      <c r="M822" s="231"/>
    </row>
    <row r="823" ht="15.75" customHeight="1">
      <c r="G823" s="442"/>
      <c r="M823" s="231"/>
    </row>
    <row r="824" ht="15.75" customHeight="1">
      <c r="G824" s="442"/>
      <c r="M824" s="231"/>
    </row>
    <row r="825" ht="15.75" customHeight="1">
      <c r="G825" s="442"/>
      <c r="M825" s="231"/>
    </row>
    <row r="826" ht="15.75" customHeight="1">
      <c r="G826" s="442"/>
      <c r="M826" s="231"/>
    </row>
    <row r="827" ht="15.75" customHeight="1">
      <c r="G827" s="442"/>
      <c r="M827" s="231"/>
    </row>
    <row r="828" ht="15.75" customHeight="1">
      <c r="G828" s="442"/>
      <c r="M828" s="231"/>
    </row>
    <row r="829" ht="15.75" customHeight="1">
      <c r="G829" s="442"/>
      <c r="M829" s="231"/>
    </row>
    <row r="830" ht="15.75" customHeight="1">
      <c r="G830" s="442"/>
      <c r="M830" s="231"/>
    </row>
    <row r="831" ht="15.75" customHeight="1">
      <c r="G831" s="442"/>
      <c r="M831" s="231"/>
    </row>
    <row r="832" ht="15.75" customHeight="1">
      <c r="G832" s="442"/>
      <c r="M832" s="231"/>
    </row>
    <row r="833" ht="15.75" customHeight="1">
      <c r="G833" s="442"/>
      <c r="M833" s="231"/>
    </row>
    <row r="834" ht="15.75" customHeight="1">
      <c r="G834" s="442"/>
      <c r="M834" s="231"/>
    </row>
    <row r="835" ht="15.75" customHeight="1">
      <c r="G835" s="442"/>
      <c r="M835" s="231"/>
    </row>
    <row r="836" ht="15.75" customHeight="1">
      <c r="G836" s="442"/>
      <c r="M836" s="231"/>
    </row>
    <row r="837" ht="15.75" customHeight="1">
      <c r="G837" s="442"/>
      <c r="M837" s="231"/>
    </row>
    <row r="838" ht="15.75" customHeight="1">
      <c r="G838" s="442"/>
      <c r="M838" s="231"/>
    </row>
    <row r="839" ht="15.75" customHeight="1">
      <c r="G839" s="442"/>
      <c r="M839" s="231"/>
    </row>
    <row r="840" ht="15.75" customHeight="1">
      <c r="G840" s="442"/>
      <c r="M840" s="231"/>
    </row>
    <row r="841" ht="15.75" customHeight="1">
      <c r="G841" s="442"/>
      <c r="M841" s="231"/>
    </row>
    <row r="842" ht="15.75" customHeight="1">
      <c r="G842" s="442"/>
      <c r="M842" s="231"/>
    </row>
    <row r="843" ht="15.75" customHeight="1">
      <c r="G843" s="442"/>
      <c r="M843" s="231"/>
    </row>
    <row r="844" ht="15.75" customHeight="1">
      <c r="G844" s="442"/>
      <c r="M844" s="231"/>
    </row>
    <row r="845" ht="15.75" customHeight="1">
      <c r="G845" s="442"/>
      <c r="M845" s="231"/>
    </row>
    <row r="846" ht="15.75" customHeight="1">
      <c r="G846" s="442"/>
      <c r="M846" s="231"/>
    </row>
    <row r="847" ht="15.75" customHeight="1">
      <c r="G847" s="442"/>
      <c r="M847" s="231"/>
    </row>
    <row r="848" ht="15.75" customHeight="1">
      <c r="G848" s="442"/>
      <c r="M848" s="231"/>
    </row>
    <row r="849" ht="15.75" customHeight="1">
      <c r="G849" s="442"/>
      <c r="M849" s="231"/>
    </row>
    <row r="850" ht="15.75" customHeight="1">
      <c r="G850" s="442"/>
      <c r="M850" s="231"/>
    </row>
    <row r="851" ht="15.75" customHeight="1">
      <c r="G851" s="442"/>
      <c r="M851" s="231"/>
    </row>
    <row r="852" ht="15.75" customHeight="1">
      <c r="G852" s="442"/>
      <c r="M852" s="231"/>
    </row>
    <row r="853" ht="15.75" customHeight="1">
      <c r="G853" s="442"/>
      <c r="M853" s="231"/>
    </row>
    <row r="854" ht="15.75" customHeight="1">
      <c r="G854" s="442"/>
      <c r="M854" s="231"/>
    </row>
    <row r="855" ht="15.75" customHeight="1">
      <c r="G855" s="442"/>
      <c r="M855" s="231"/>
    </row>
    <row r="856" ht="15.75" customHeight="1">
      <c r="G856" s="442"/>
      <c r="M856" s="231"/>
    </row>
    <row r="857" ht="15.75" customHeight="1">
      <c r="G857" s="442"/>
      <c r="M857" s="231"/>
    </row>
    <row r="858" ht="15.75" customHeight="1">
      <c r="G858" s="442"/>
      <c r="M858" s="231"/>
    </row>
    <row r="859" ht="15.75" customHeight="1">
      <c r="G859" s="442"/>
      <c r="M859" s="231"/>
    </row>
    <row r="860" ht="15.75" customHeight="1">
      <c r="G860" s="442"/>
      <c r="M860" s="231"/>
    </row>
    <row r="861" ht="15.75" customHeight="1">
      <c r="G861" s="442"/>
      <c r="M861" s="231"/>
    </row>
    <row r="862" ht="15.75" customHeight="1">
      <c r="G862" s="442"/>
      <c r="M862" s="231"/>
    </row>
    <row r="863" ht="15.75" customHeight="1">
      <c r="G863" s="442"/>
      <c r="M863" s="231"/>
    </row>
    <row r="864" ht="15.75" customHeight="1">
      <c r="G864" s="442"/>
      <c r="M864" s="231"/>
    </row>
    <row r="865" ht="15.75" customHeight="1">
      <c r="G865" s="442"/>
      <c r="M865" s="231"/>
    </row>
    <row r="866" ht="15.75" customHeight="1">
      <c r="G866" s="442"/>
      <c r="M866" s="231"/>
    </row>
    <row r="867" ht="15.75" customHeight="1">
      <c r="G867" s="442"/>
      <c r="M867" s="231"/>
    </row>
    <row r="868" ht="15.75" customHeight="1">
      <c r="G868" s="442"/>
      <c r="M868" s="231"/>
    </row>
    <row r="869" ht="15.75" customHeight="1">
      <c r="G869" s="442"/>
      <c r="M869" s="231"/>
    </row>
    <row r="870" ht="15.75" customHeight="1">
      <c r="G870" s="442"/>
      <c r="M870" s="231"/>
    </row>
    <row r="871" ht="15.75" customHeight="1">
      <c r="G871" s="442"/>
      <c r="M871" s="231"/>
    </row>
    <row r="872" ht="15.75" customHeight="1">
      <c r="G872" s="442"/>
      <c r="M872" s="231"/>
    </row>
    <row r="873" ht="15.75" customHeight="1">
      <c r="G873" s="442"/>
      <c r="M873" s="231"/>
    </row>
    <row r="874" ht="15.75" customHeight="1">
      <c r="G874" s="442"/>
      <c r="M874" s="231"/>
    </row>
    <row r="875" ht="15.75" customHeight="1">
      <c r="G875" s="442"/>
      <c r="M875" s="231"/>
    </row>
    <row r="876" ht="15.75" customHeight="1">
      <c r="G876" s="442"/>
      <c r="M876" s="231"/>
    </row>
    <row r="877" ht="15.75" customHeight="1">
      <c r="G877" s="442"/>
      <c r="M877" s="231"/>
    </row>
    <row r="878" ht="15.75" customHeight="1">
      <c r="G878" s="442"/>
      <c r="M878" s="231"/>
    </row>
    <row r="879" ht="15.75" customHeight="1">
      <c r="G879" s="442"/>
      <c r="M879" s="231"/>
    </row>
    <row r="880" ht="15.75" customHeight="1">
      <c r="G880" s="442"/>
      <c r="M880" s="231"/>
    </row>
    <row r="881" ht="15.75" customHeight="1">
      <c r="G881" s="442"/>
      <c r="M881" s="231"/>
    </row>
    <row r="882" ht="15.75" customHeight="1">
      <c r="G882" s="442"/>
      <c r="M882" s="231"/>
    </row>
    <row r="883" ht="15.75" customHeight="1">
      <c r="G883" s="442"/>
      <c r="M883" s="231"/>
    </row>
    <row r="884" ht="15.75" customHeight="1">
      <c r="G884" s="442"/>
      <c r="M884" s="231"/>
    </row>
    <row r="885" ht="15.75" customHeight="1">
      <c r="G885" s="442"/>
      <c r="M885" s="231"/>
    </row>
    <row r="886" ht="15.75" customHeight="1">
      <c r="G886" s="442"/>
      <c r="M886" s="231"/>
    </row>
    <row r="887" ht="15.75" customHeight="1">
      <c r="G887" s="442"/>
      <c r="M887" s="231"/>
    </row>
    <row r="888" ht="15.75" customHeight="1">
      <c r="G888" s="442"/>
      <c r="M888" s="231"/>
    </row>
    <row r="889" ht="15.75" customHeight="1">
      <c r="G889" s="442"/>
      <c r="M889" s="231"/>
    </row>
    <row r="890" ht="15.75" customHeight="1">
      <c r="G890" s="442"/>
      <c r="M890" s="231"/>
    </row>
    <row r="891" ht="15.75" customHeight="1">
      <c r="G891" s="442"/>
      <c r="M891" s="231"/>
    </row>
    <row r="892" ht="15.75" customHeight="1">
      <c r="G892" s="442"/>
      <c r="M892" s="231"/>
    </row>
    <row r="893" ht="15.75" customHeight="1">
      <c r="G893" s="442"/>
      <c r="M893" s="231"/>
    </row>
    <row r="894" ht="15.75" customHeight="1">
      <c r="G894" s="442"/>
      <c r="M894" s="231"/>
    </row>
    <row r="895" ht="15.75" customHeight="1">
      <c r="G895" s="442"/>
      <c r="M895" s="231"/>
    </row>
    <row r="896" ht="15.75" customHeight="1">
      <c r="G896" s="442"/>
      <c r="M896" s="231"/>
    </row>
    <row r="897" ht="15.75" customHeight="1">
      <c r="G897" s="442"/>
      <c r="M897" s="231"/>
    </row>
    <row r="898" ht="15.75" customHeight="1">
      <c r="G898" s="442"/>
      <c r="M898" s="231"/>
    </row>
    <row r="899" ht="15.75" customHeight="1">
      <c r="G899" s="442"/>
      <c r="M899" s="231"/>
    </row>
    <row r="900" ht="15.75" customHeight="1">
      <c r="G900" s="442"/>
      <c r="M900" s="231"/>
    </row>
    <row r="901" ht="15.75" customHeight="1">
      <c r="G901" s="442"/>
      <c r="M901" s="231"/>
    </row>
    <row r="902" ht="15.75" customHeight="1">
      <c r="G902" s="442"/>
      <c r="M902" s="231"/>
    </row>
    <row r="903" ht="15.75" customHeight="1">
      <c r="G903" s="442"/>
      <c r="M903" s="231"/>
    </row>
    <row r="904" ht="15.75" customHeight="1">
      <c r="G904" s="442"/>
      <c r="M904" s="231"/>
    </row>
    <row r="905" ht="15.75" customHeight="1">
      <c r="G905" s="442"/>
      <c r="M905" s="231"/>
    </row>
    <row r="906" ht="15.75" customHeight="1">
      <c r="G906" s="442"/>
      <c r="M906" s="231"/>
    </row>
    <row r="907" ht="15.75" customHeight="1">
      <c r="G907" s="442"/>
      <c r="M907" s="231"/>
    </row>
    <row r="908" ht="15.75" customHeight="1">
      <c r="G908" s="442"/>
      <c r="M908" s="231"/>
    </row>
    <row r="909" ht="15.75" customHeight="1">
      <c r="G909" s="442"/>
      <c r="M909" s="231"/>
    </row>
    <row r="910" ht="15.75" customHeight="1">
      <c r="G910" s="442"/>
      <c r="M910" s="231"/>
    </row>
    <row r="911" ht="15.75" customHeight="1">
      <c r="G911" s="442"/>
      <c r="M911" s="231"/>
    </row>
    <row r="912" ht="15.75" customHeight="1">
      <c r="G912" s="442"/>
      <c r="M912" s="231"/>
    </row>
    <row r="913" ht="15.75" customHeight="1">
      <c r="G913" s="442"/>
      <c r="M913" s="231"/>
    </row>
    <row r="914" ht="15.75" customHeight="1">
      <c r="G914" s="442"/>
      <c r="M914" s="231"/>
    </row>
    <row r="915" ht="15.75" customHeight="1">
      <c r="G915" s="442"/>
      <c r="M915" s="231"/>
    </row>
    <row r="916" ht="15.75" customHeight="1">
      <c r="G916" s="442"/>
      <c r="M916" s="231"/>
    </row>
    <row r="917" ht="15.75" customHeight="1">
      <c r="G917" s="442"/>
      <c r="M917" s="231"/>
    </row>
    <row r="918" ht="15.75" customHeight="1">
      <c r="G918" s="442"/>
      <c r="M918" s="231"/>
    </row>
    <row r="919" ht="15.75" customHeight="1">
      <c r="G919" s="442"/>
      <c r="M919" s="231"/>
    </row>
    <row r="920" ht="15.75" customHeight="1">
      <c r="G920" s="442"/>
      <c r="M920" s="231"/>
    </row>
    <row r="921" ht="15.75" customHeight="1">
      <c r="G921" s="442"/>
      <c r="M921" s="231"/>
    </row>
    <row r="922" ht="15.75" customHeight="1">
      <c r="G922" s="442"/>
      <c r="M922" s="231"/>
    </row>
    <row r="923" ht="15.75" customHeight="1">
      <c r="G923" s="442"/>
      <c r="M923" s="231"/>
    </row>
    <row r="924" ht="15.75" customHeight="1">
      <c r="G924" s="442"/>
      <c r="M924" s="231"/>
    </row>
    <row r="925" ht="15.75" customHeight="1">
      <c r="G925" s="442"/>
      <c r="M925" s="231"/>
    </row>
    <row r="926" ht="15.75" customHeight="1">
      <c r="G926" s="442"/>
      <c r="M926" s="231"/>
    </row>
    <row r="927" ht="15.75" customHeight="1">
      <c r="G927" s="442"/>
      <c r="M927" s="231"/>
    </row>
    <row r="928" ht="15.75" customHeight="1">
      <c r="G928" s="442"/>
      <c r="M928" s="231"/>
    </row>
    <row r="929" ht="15.75" customHeight="1">
      <c r="G929" s="442"/>
      <c r="M929" s="231"/>
    </row>
    <row r="930" ht="15.75" customHeight="1">
      <c r="G930" s="442"/>
      <c r="M930" s="231"/>
    </row>
    <row r="931" ht="15.75" customHeight="1">
      <c r="G931" s="442"/>
      <c r="M931" s="231"/>
    </row>
    <row r="932" ht="15.75" customHeight="1">
      <c r="G932" s="442"/>
      <c r="M932" s="231"/>
    </row>
    <row r="933" ht="15.75" customHeight="1">
      <c r="G933" s="442"/>
      <c r="M933" s="231"/>
    </row>
    <row r="934" ht="15.75" customHeight="1">
      <c r="G934" s="442"/>
      <c r="M934" s="231"/>
    </row>
    <row r="935" ht="15.75" customHeight="1">
      <c r="G935" s="442"/>
      <c r="M935" s="231"/>
    </row>
    <row r="936" ht="15.75" customHeight="1">
      <c r="G936" s="442"/>
      <c r="M936" s="231"/>
    </row>
    <row r="937" ht="15.75" customHeight="1">
      <c r="G937" s="442"/>
      <c r="M937" s="231"/>
    </row>
    <row r="938" ht="15.75" customHeight="1">
      <c r="G938" s="442"/>
      <c r="M938" s="231"/>
    </row>
    <row r="939" ht="15.75" customHeight="1">
      <c r="G939" s="442"/>
      <c r="M939" s="231"/>
    </row>
    <row r="940" ht="15.75" customHeight="1">
      <c r="G940" s="442"/>
      <c r="M940" s="231"/>
    </row>
    <row r="941" ht="15.75" customHeight="1">
      <c r="G941" s="442"/>
      <c r="M941" s="231"/>
    </row>
    <row r="942" ht="15.75" customHeight="1">
      <c r="G942" s="442"/>
      <c r="M942" s="231"/>
    </row>
    <row r="943" ht="15.75" customHeight="1">
      <c r="G943" s="442"/>
      <c r="M943" s="231"/>
    </row>
    <row r="944" ht="15.75" customHeight="1">
      <c r="G944" s="442"/>
      <c r="M944" s="231"/>
    </row>
    <row r="945" ht="15.75" customHeight="1">
      <c r="G945" s="442"/>
      <c r="M945" s="231"/>
    </row>
    <row r="946" ht="15.75" customHeight="1">
      <c r="G946" s="442"/>
      <c r="M946" s="231"/>
    </row>
    <row r="947" ht="15.75" customHeight="1">
      <c r="G947" s="442"/>
      <c r="M947" s="231"/>
    </row>
    <row r="948" ht="15.75" customHeight="1">
      <c r="G948" s="442"/>
      <c r="M948" s="231"/>
    </row>
    <row r="949" ht="15.75" customHeight="1">
      <c r="G949" s="442"/>
      <c r="M949" s="231"/>
    </row>
    <row r="950" ht="15.75" customHeight="1">
      <c r="G950" s="442"/>
      <c r="M950" s="231"/>
    </row>
    <row r="951" ht="15.75" customHeight="1">
      <c r="G951" s="442"/>
      <c r="M951" s="231"/>
    </row>
    <row r="952" ht="15.75" customHeight="1">
      <c r="G952" s="442"/>
      <c r="M952" s="231"/>
    </row>
    <row r="953" ht="15.75" customHeight="1">
      <c r="G953" s="442"/>
      <c r="M953" s="231"/>
    </row>
    <row r="954" ht="15.75" customHeight="1">
      <c r="G954" s="442"/>
      <c r="M954" s="231"/>
    </row>
    <row r="955" ht="15.75" customHeight="1">
      <c r="G955" s="442"/>
      <c r="M955" s="231"/>
    </row>
    <row r="956" ht="15.75" customHeight="1">
      <c r="G956" s="442"/>
      <c r="M956" s="231"/>
    </row>
    <row r="957" ht="15.75" customHeight="1">
      <c r="G957" s="442"/>
      <c r="M957" s="231"/>
    </row>
    <row r="958" ht="15.75" customHeight="1">
      <c r="G958" s="442"/>
      <c r="M958" s="231"/>
    </row>
    <row r="959" ht="15.75" customHeight="1">
      <c r="G959" s="442"/>
      <c r="M959" s="231"/>
    </row>
    <row r="960" ht="15.75" customHeight="1">
      <c r="G960" s="442"/>
      <c r="M960" s="231"/>
    </row>
    <row r="961" ht="15.75" customHeight="1">
      <c r="G961" s="442"/>
      <c r="M961" s="231"/>
    </row>
    <row r="962" ht="15.75" customHeight="1">
      <c r="G962" s="442"/>
      <c r="M962" s="231"/>
    </row>
    <row r="963" ht="15.75" customHeight="1">
      <c r="G963" s="442"/>
      <c r="M963" s="231"/>
    </row>
    <row r="964" ht="15.75" customHeight="1">
      <c r="G964" s="442"/>
      <c r="M964" s="231"/>
    </row>
    <row r="965" ht="15.75" customHeight="1">
      <c r="G965" s="442"/>
      <c r="M965" s="231"/>
    </row>
    <row r="966" ht="15.75" customHeight="1">
      <c r="G966" s="442"/>
      <c r="M966" s="231"/>
    </row>
    <row r="967" ht="15.75" customHeight="1">
      <c r="G967" s="442"/>
      <c r="M967" s="231"/>
    </row>
    <row r="968" ht="15.75" customHeight="1">
      <c r="G968" s="442"/>
      <c r="M968" s="231"/>
    </row>
    <row r="969" ht="15.75" customHeight="1">
      <c r="G969" s="442"/>
      <c r="M969" s="231"/>
    </row>
    <row r="970" ht="15.75" customHeight="1">
      <c r="G970" s="442"/>
      <c r="M970" s="231"/>
    </row>
    <row r="971" ht="15.75" customHeight="1">
      <c r="G971" s="442"/>
      <c r="M971" s="231"/>
    </row>
    <row r="972" ht="15.75" customHeight="1">
      <c r="G972" s="442"/>
      <c r="M972" s="231"/>
    </row>
    <row r="973" ht="15.75" customHeight="1">
      <c r="G973" s="442"/>
      <c r="M973" s="231"/>
    </row>
    <row r="974" ht="15.75" customHeight="1">
      <c r="G974" s="442"/>
      <c r="M974" s="231"/>
    </row>
    <row r="975" ht="15.75" customHeight="1">
      <c r="G975" s="442"/>
      <c r="M975" s="231"/>
    </row>
    <row r="976" ht="15.75" customHeight="1">
      <c r="G976" s="442"/>
      <c r="M976" s="231"/>
    </row>
    <row r="977" ht="15.75" customHeight="1">
      <c r="G977" s="442"/>
      <c r="M977" s="231"/>
    </row>
    <row r="978" ht="15.75" customHeight="1">
      <c r="G978" s="442"/>
      <c r="M978" s="231"/>
    </row>
    <row r="979" ht="15.75" customHeight="1">
      <c r="G979" s="442"/>
      <c r="M979" s="231"/>
    </row>
    <row r="980" ht="15.75" customHeight="1">
      <c r="G980" s="442"/>
      <c r="M980" s="231"/>
    </row>
    <row r="981" ht="15.75" customHeight="1">
      <c r="G981" s="442"/>
      <c r="M981" s="231"/>
    </row>
    <row r="982" ht="15.75" customHeight="1">
      <c r="G982" s="442"/>
      <c r="M982" s="231"/>
    </row>
    <row r="983" ht="15.75" customHeight="1">
      <c r="G983" s="442"/>
      <c r="M983" s="231"/>
    </row>
    <row r="984" ht="15.75" customHeight="1">
      <c r="G984" s="442"/>
      <c r="M984" s="231"/>
    </row>
    <row r="985" ht="15.75" customHeight="1">
      <c r="G985" s="442"/>
      <c r="M985" s="231"/>
    </row>
    <row r="986" ht="15.75" customHeight="1">
      <c r="G986" s="442"/>
      <c r="M986" s="231"/>
    </row>
    <row r="987" ht="15.75" customHeight="1">
      <c r="G987" s="442"/>
      <c r="M987" s="231"/>
    </row>
    <row r="988" ht="15.75" customHeight="1">
      <c r="G988" s="442"/>
      <c r="M988" s="231"/>
    </row>
    <row r="989" ht="15.75" customHeight="1">
      <c r="G989" s="442"/>
      <c r="M989" s="231"/>
    </row>
    <row r="990" ht="15.75" customHeight="1">
      <c r="G990" s="442"/>
      <c r="M990" s="231"/>
    </row>
    <row r="991" ht="15.75" customHeight="1">
      <c r="G991" s="442"/>
      <c r="M991" s="231"/>
    </row>
    <row r="992" ht="15.75" customHeight="1">
      <c r="G992" s="442"/>
      <c r="M992" s="231"/>
    </row>
    <row r="993" ht="15.75" customHeight="1">
      <c r="G993" s="442"/>
      <c r="M993" s="231"/>
    </row>
    <row r="994" ht="15.75" customHeight="1">
      <c r="G994" s="442"/>
      <c r="M994" s="231"/>
    </row>
    <row r="995" ht="15.75" customHeight="1">
      <c r="G995" s="442"/>
      <c r="M995" s="231"/>
    </row>
    <row r="996" ht="15.75" customHeight="1">
      <c r="G996" s="442"/>
      <c r="M996" s="231"/>
    </row>
    <row r="997" ht="15.75" customHeight="1">
      <c r="G997" s="442"/>
      <c r="M997" s="231"/>
    </row>
    <row r="998" ht="15.75" customHeight="1">
      <c r="G998" s="442"/>
      <c r="M998" s="231"/>
    </row>
    <row r="999" ht="15.75" customHeight="1">
      <c r="G999" s="442"/>
      <c r="M999" s="231"/>
    </row>
    <row r="1000" ht="15.75" customHeight="1">
      <c r="G1000" s="442"/>
      <c r="M1000" s="231"/>
    </row>
    <row r="1001" ht="15.75" customHeight="1">
      <c r="G1001" s="442"/>
      <c r="M1001" s="231"/>
    </row>
    <row r="1002" ht="15.75" customHeight="1">
      <c r="G1002" s="442"/>
      <c r="M1002" s="231"/>
    </row>
    <row r="1003" ht="15.75" customHeight="1">
      <c r="G1003" s="442"/>
      <c r="M1003" s="231"/>
    </row>
    <row r="1004" ht="15.75" customHeight="1">
      <c r="G1004" s="442"/>
      <c r="M1004" s="231"/>
    </row>
    <row r="1005" ht="15.75" customHeight="1">
      <c r="G1005" s="442"/>
      <c r="M1005" s="231"/>
    </row>
    <row r="1006" ht="15.75" customHeight="1">
      <c r="G1006" s="442"/>
      <c r="M1006" s="231"/>
    </row>
    <row r="1007" ht="15.75" customHeight="1">
      <c r="G1007" s="442"/>
      <c r="M1007" s="231"/>
    </row>
    <row r="1008" ht="15.75" customHeight="1">
      <c r="G1008" s="442"/>
      <c r="M1008" s="231"/>
    </row>
    <row r="1009" ht="15.75" customHeight="1">
      <c r="G1009" s="442"/>
      <c r="M1009" s="231"/>
    </row>
    <row r="1010" ht="15.75" customHeight="1">
      <c r="G1010" s="442"/>
      <c r="M1010" s="231"/>
    </row>
    <row r="1011" ht="15.75" customHeight="1">
      <c r="G1011" s="442"/>
      <c r="M1011" s="231"/>
    </row>
    <row r="1012" ht="15.75" customHeight="1">
      <c r="G1012" s="442"/>
      <c r="M1012" s="231"/>
    </row>
    <row r="1013" ht="15.75" customHeight="1">
      <c r="G1013" s="442"/>
      <c r="M1013" s="231"/>
    </row>
    <row r="1014" ht="15.75" customHeight="1">
      <c r="G1014" s="442"/>
      <c r="M1014" s="231"/>
    </row>
    <row r="1015" ht="15.75" customHeight="1">
      <c r="G1015" s="442"/>
      <c r="M1015" s="231"/>
    </row>
    <row r="1016" ht="15.75" customHeight="1">
      <c r="G1016" s="442"/>
      <c r="M1016" s="231"/>
    </row>
    <row r="1017" ht="15.75" customHeight="1">
      <c r="G1017" s="442"/>
      <c r="M1017" s="231"/>
    </row>
    <row r="1018" ht="15.75" customHeight="1">
      <c r="G1018" s="442"/>
      <c r="M1018" s="231"/>
    </row>
    <row r="1019" ht="15.75" customHeight="1">
      <c r="G1019" s="442"/>
      <c r="M1019" s="231"/>
    </row>
    <row r="1020" ht="15.75" customHeight="1">
      <c r="G1020" s="442"/>
      <c r="M1020" s="231"/>
    </row>
    <row r="1021" ht="15.75" customHeight="1">
      <c r="G1021" s="442"/>
      <c r="M1021" s="231"/>
    </row>
    <row r="1022" ht="15.75" customHeight="1">
      <c r="G1022" s="442"/>
      <c r="M1022" s="231"/>
    </row>
    <row r="1023" ht="15.75" customHeight="1">
      <c r="G1023" s="442"/>
      <c r="M1023" s="231"/>
    </row>
    <row r="1024" ht="15.75" customHeight="1">
      <c r="G1024" s="442"/>
      <c r="M1024" s="231"/>
    </row>
    <row r="1025" ht="15.75" customHeight="1">
      <c r="G1025" s="442"/>
      <c r="M1025" s="231"/>
    </row>
    <row r="1026" ht="15.75" customHeight="1">
      <c r="G1026" s="442"/>
      <c r="M1026" s="231"/>
    </row>
    <row r="1027" ht="15.75" customHeight="1">
      <c r="G1027" s="442"/>
      <c r="M1027" s="231"/>
    </row>
    <row r="1028" ht="15.75" customHeight="1">
      <c r="G1028" s="442"/>
      <c r="M1028" s="231"/>
    </row>
    <row r="1029" ht="15.75" customHeight="1">
      <c r="G1029" s="442"/>
      <c r="M1029" s="231"/>
    </row>
    <row r="1030" ht="15.75" customHeight="1">
      <c r="G1030" s="442"/>
      <c r="M1030" s="231"/>
    </row>
    <row r="1031" ht="15.75" customHeight="1">
      <c r="G1031" s="442"/>
      <c r="M1031" s="231"/>
    </row>
    <row r="1032" ht="15.75" customHeight="1">
      <c r="G1032" s="442"/>
      <c r="M1032" s="231"/>
    </row>
    <row r="1033" ht="15.75" customHeight="1">
      <c r="G1033" s="442"/>
      <c r="M1033" s="231"/>
    </row>
    <row r="1034" ht="15.75" customHeight="1">
      <c r="G1034" s="442"/>
      <c r="M1034" s="231"/>
    </row>
    <row r="1035" ht="15.75" customHeight="1">
      <c r="G1035" s="442"/>
      <c r="M1035" s="231"/>
    </row>
    <row r="1036" ht="15.75" customHeight="1">
      <c r="G1036" s="442"/>
      <c r="M1036" s="231"/>
    </row>
    <row r="1037" ht="15.75" customHeight="1">
      <c r="G1037" s="442"/>
      <c r="M1037" s="231"/>
    </row>
    <row r="1038" ht="15.75" customHeight="1">
      <c r="G1038" s="442"/>
      <c r="M1038" s="231"/>
    </row>
    <row r="1039" ht="15.75" customHeight="1">
      <c r="G1039" s="442"/>
      <c r="M1039" s="231"/>
    </row>
    <row r="1040" ht="15.75" customHeight="1">
      <c r="G1040" s="442"/>
      <c r="M1040" s="231"/>
    </row>
    <row r="1041" ht="15.75" customHeight="1">
      <c r="G1041" s="442"/>
      <c r="M1041" s="231"/>
    </row>
    <row r="1042" ht="15.75" customHeight="1">
      <c r="G1042" s="442"/>
      <c r="M1042" s="231"/>
    </row>
    <row r="1043" ht="15.75" customHeight="1">
      <c r="G1043" s="442"/>
      <c r="M1043" s="231"/>
    </row>
    <row r="1044" ht="15.75" customHeight="1">
      <c r="G1044" s="442"/>
      <c r="M1044" s="231"/>
    </row>
    <row r="1045" ht="15.75" customHeight="1">
      <c r="G1045" s="442"/>
      <c r="M1045" s="231"/>
    </row>
    <row r="1046" ht="15.75" customHeight="1">
      <c r="G1046" s="442"/>
      <c r="M1046" s="231"/>
    </row>
    <row r="1047" ht="15.75" customHeight="1">
      <c r="G1047" s="442"/>
      <c r="M1047" s="231"/>
    </row>
    <row r="1048" ht="15.75" customHeight="1">
      <c r="G1048" s="442"/>
      <c r="M1048" s="231"/>
    </row>
    <row r="1049" ht="15.75" customHeight="1">
      <c r="G1049" s="442"/>
      <c r="M1049" s="231"/>
    </row>
    <row r="1050" ht="15.75" customHeight="1">
      <c r="G1050" s="442"/>
      <c r="M1050" s="231"/>
    </row>
    <row r="1051" ht="15.75" customHeight="1">
      <c r="G1051" s="442"/>
      <c r="M1051" s="231"/>
    </row>
    <row r="1052" ht="15.75" customHeight="1">
      <c r="G1052" s="442"/>
      <c r="M1052" s="231"/>
    </row>
    <row r="1053" ht="15.75" customHeight="1">
      <c r="G1053" s="442"/>
      <c r="M1053" s="231"/>
    </row>
    <row r="1054" ht="15.75" customHeight="1">
      <c r="G1054" s="442"/>
      <c r="M1054" s="231"/>
    </row>
    <row r="1055" ht="15.75" customHeight="1">
      <c r="G1055" s="442"/>
      <c r="M1055" s="231"/>
    </row>
    <row r="1056" ht="15.75" customHeight="1">
      <c r="G1056" s="442"/>
      <c r="M1056" s="231"/>
    </row>
    <row r="1057" ht="15.75" customHeight="1">
      <c r="G1057" s="442"/>
      <c r="M1057" s="231"/>
    </row>
    <row r="1058" ht="15.75" customHeight="1">
      <c r="G1058" s="442"/>
      <c r="M1058" s="231"/>
    </row>
    <row r="1059" ht="15.75" customHeight="1">
      <c r="G1059" s="442"/>
      <c r="M1059" s="231"/>
    </row>
    <row r="1060" ht="15.75" customHeight="1">
      <c r="G1060" s="442"/>
      <c r="M1060" s="231"/>
    </row>
    <row r="1061" ht="15.75" customHeight="1">
      <c r="G1061" s="442"/>
      <c r="M1061" s="231"/>
    </row>
    <row r="1062" ht="15.75" customHeight="1">
      <c r="G1062" s="442"/>
      <c r="M1062" s="231"/>
    </row>
    <row r="1063" ht="15.75" customHeight="1">
      <c r="G1063" s="442"/>
      <c r="M1063" s="231"/>
    </row>
    <row r="1064" ht="15.75" customHeight="1">
      <c r="G1064" s="442"/>
      <c r="M1064" s="231"/>
    </row>
    <row r="1065" ht="15.75" customHeight="1">
      <c r="G1065" s="442"/>
      <c r="M1065" s="231"/>
    </row>
    <row r="1066" ht="15.75" customHeight="1">
      <c r="G1066" s="442"/>
      <c r="M1066" s="231"/>
    </row>
    <row r="1067" ht="15.75" customHeight="1">
      <c r="G1067" s="442"/>
      <c r="M1067" s="231"/>
    </row>
    <row r="1068" ht="15.75" customHeight="1">
      <c r="G1068" s="442"/>
      <c r="M1068" s="231"/>
    </row>
    <row r="1069" ht="15.75" customHeight="1">
      <c r="G1069" s="442"/>
      <c r="M1069" s="231"/>
    </row>
    <row r="1070" ht="15.75" customHeight="1">
      <c r="G1070" s="442"/>
      <c r="M1070" s="231"/>
    </row>
    <row r="1071" ht="15.75" customHeight="1">
      <c r="G1071" s="442"/>
      <c r="M1071" s="231"/>
    </row>
    <row r="1072" ht="15.75" customHeight="1">
      <c r="G1072" s="442"/>
      <c r="M1072" s="231"/>
    </row>
    <row r="1073" ht="15.75" customHeight="1">
      <c r="G1073" s="442"/>
      <c r="M1073" s="231"/>
    </row>
    <row r="1074" ht="15.75" customHeight="1">
      <c r="G1074" s="442"/>
      <c r="M1074" s="231"/>
    </row>
    <row r="1075" ht="15.75" customHeight="1">
      <c r="G1075" s="442"/>
      <c r="M1075" s="231"/>
    </row>
    <row r="1076" ht="15.75" customHeight="1">
      <c r="G1076" s="442"/>
      <c r="M1076" s="231"/>
    </row>
    <row r="1077" ht="15.75" customHeight="1">
      <c r="G1077" s="442"/>
      <c r="M1077" s="231"/>
    </row>
    <row r="1078" ht="15.75" customHeight="1">
      <c r="G1078" s="442"/>
      <c r="M1078" s="231"/>
    </row>
    <row r="1079" ht="15.75" customHeight="1">
      <c r="G1079" s="442"/>
      <c r="M1079" s="231"/>
    </row>
    <row r="1080" ht="15.75" customHeight="1">
      <c r="G1080" s="442"/>
      <c r="M1080" s="231"/>
    </row>
    <row r="1081" ht="15.75" customHeight="1">
      <c r="G1081" s="442"/>
      <c r="M1081" s="231"/>
    </row>
    <row r="1082" ht="15.75" customHeight="1">
      <c r="G1082" s="442"/>
      <c r="M1082" s="231"/>
    </row>
    <row r="1083" ht="15.75" customHeight="1">
      <c r="G1083" s="442"/>
      <c r="M1083" s="231"/>
    </row>
    <row r="1084" ht="15.75" customHeight="1">
      <c r="G1084" s="442"/>
      <c r="M1084" s="231"/>
    </row>
    <row r="1085" ht="15.75" customHeight="1">
      <c r="G1085" s="442"/>
      <c r="M1085" s="231"/>
    </row>
    <row r="1086" ht="15.75" customHeight="1">
      <c r="G1086" s="442"/>
      <c r="M1086" s="231"/>
    </row>
    <row r="1087" ht="15.75" customHeight="1">
      <c r="G1087" s="442"/>
      <c r="M1087" s="231"/>
    </row>
    <row r="1088" ht="15.75" customHeight="1">
      <c r="G1088" s="442"/>
      <c r="M1088" s="231"/>
    </row>
    <row r="1089" ht="15.75" customHeight="1">
      <c r="G1089" s="442"/>
      <c r="M1089" s="231"/>
    </row>
    <row r="1090" ht="15.75" customHeight="1">
      <c r="G1090" s="442"/>
      <c r="M1090" s="231"/>
    </row>
    <row r="1091" ht="15.75" customHeight="1">
      <c r="G1091" s="442"/>
      <c r="M1091" s="231"/>
    </row>
    <row r="1092" ht="15.75" customHeight="1">
      <c r="G1092" s="442"/>
      <c r="M1092" s="231"/>
    </row>
    <row r="1093" ht="15.75" customHeight="1">
      <c r="G1093" s="442"/>
      <c r="M1093" s="231"/>
    </row>
    <row r="1094" ht="15.75" customHeight="1">
      <c r="G1094" s="442"/>
      <c r="M1094" s="231"/>
    </row>
    <row r="1095" ht="15.75" customHeight="1">
      <c r="G1095" s="442"/>
      <c r="M1095" s="231"/>
    </row>
    <row r="1096" ht="15.75" customHeight="1">
      <c r="G1096" s="442"/>
      <c r="M1096" s="231"/>
    </row>
    <row r="1097" ht="15.75" customHeight="1">
      <c r="G1097" s="442"/>
      <c r="M1097" s="231"/>
    </row>
    <row r="1098" ht="15.75" customHeight="1">
      <c r="G1098" s="442"/>
      <c r="M1098" s="231"/>
    </row>
    <row r="1099" ht="15.75" customHeight="1">
      <c r="G1099" s="442"/>
      <c r="M1099" s="231"/>
    </row>
    <row r="1100" ht="15.75" customHeight="1">
      <c r="G1100" s="442"/>
      <c r="M1100" s="231"/>
    </row>
    <row r="1101" ht="15.75" customHeight="1">
      <c r="G1101" s="442"/>
      <c r="M1101" s="231"/>
    </row>
    <row r="1102" ht="15.75" customHeight="1">
      <c r="G1102" s="442"/>
      <c r="M1102" s="231"/>
    </row>
    <row r="1103" ht="15.75" customHeight="1">
      <c r="G1103" s="442"/>
      <c r="M1103" s="231"/>
    </row>
    <row r="1104" ht="15.75" customHeight="1">
      <c r="G1104" s="442"/>
      <c r="M1104" s="231"/>
    </row>
    <row r="1105" ht="15.75" customHeight="1">
      <c r="G1105" s="442"/>
      <c r="M1105" s="231"/>
    </row>
    <row r="1106" ht="15.75" customHeight="1">
      <c r="G1106" s="442"/>
      <c r="M1106" s="231"/>
    </row>
    <row r="1107" ht="15.75" customHeight="1">
      <c r="G1107" s="442"/>
      <c r="M1107" s="231"/>
    </row>
    <row r="1108" ht="15.75" customHeight="1">
      <c r="G1108" s="442"/>
      <c r="M1108" s="231"/>
    </row>
    <row r="1109" ht="15.75" customHeight="1">
      <c r="G1109" s="442"/>
      <c r="M1109" s="231"/>
    </row>
    <row r="1110" ht="15.75" customHeight="1">
      <c r="G1110" s="442"/>
      <c r="M1110" s="231"/>
    </row>
    <row r="1111" ht="15.75" customHeight="1">
      <c r="G1111" s="442"/>
      <c r="M1111" s="231"/>
    </row>
    <row r="1112" ht="15.75" customHeight="1">
      <c r="G1112" s="442"/>
      <c r="M1112" s="231"/>
    </row>
    <row r="1113" ht="15.75" customHeight="1">
      <c r="G1113" s="442"/>
      <c r="M1113" s="231"/>
    </row>
    <row r="1114" ht="15.75" customHeight="1">
      <c r="G1114" s="442"/>
      <c r="M1114" s="231"/>
    </row>
    <row r="1115" ht="15.75" customHeight="1">
      <c r="G1115" s="442"/>
      <c r="M1115" s="231"/>
    </row>
    <row r="1116" ht="15.75" customHeight="1">
      <c r="G1116" s="442"/>
      <c r="M1116" s="231"/>
    </row>
    <row r="1117" ht="15.75" customHeight="1">
      <c r="G1117" s="442"/>
      <c r="M1117" s="231"/>
    </row>
    <row r="1118" ht="15.75" customHeight="1">
      <c r="G1118" s="442"/>
      <c r="M1118" s="231"/>
    </row>
    <row r="1119" ht="15.75" customHeight="1">
      <c r="G1119" s="442"/>
      <c r="M1119" s="231"/>
    </row>
    <row r="1120" ht="15.75" customHeight="1">
      <c r="G1120" s="442"/>
      <c r="M1120" s="231"/>
    </row>
    <row r="1121" ht="15.75" customHeight="1">
      <c r="G1121" s="442"/>
      <c r="M1121" s="231"/>
    </row>
    <row r="1122" ht="15.75" customHeight="1">
      <c r="G1122" s="442"/>
      <c r="M1122" s="231"/>
    </row>
    <row r="1123" ht="15.75" customHeight="1">
      <c r="G1123" s="442"/>
      <c r="M1123" s="231"/>
    </row>
    <row r="1124" ht="15.75" customHeight="1">
      <c r="G1124" s="442"/>
      <c r="M1124" s="231"/>
    </row>
    <row r="1125" ht="15.75" customHeight="1">
      <c r="G1125" s="442"/>
      <c r="M1125" s="231"/>
    </row>
    <row r="1126" ht="15.75" customHeight="1">
      <c r="G1126" s="442"/>
      <c r="M1126" s="231"/>
    </row>
    <row r="1127" ht="15.75" customHeight="1">
      <c r="G1127" s="442"/>
      <c r="M1127" s="231"/>
    </row>
    <row r="1128" ht="15.75" customHeight="1">
      <c r="G1128" s="442"/>
      <c r="M1128" s="231"/>
    </row>
    <row r="1129" ht="15.75" customHeight="1">
      <c r="G1129" s="442"/>
      <c r="M1129" s="231"/>
    </row>
    <row r="1130" ht="15.75" customHeight="1">
      <c r="G1130" s="442"/>
      <c r="M1130" s="231"/>
    </row>
    <row r="1131" ht="15.75" customHeight="1">
      <c r="G1131" s="442"/>
      <c r="M1131" s="231"/>
    </row>
    <row r="1132" ht="15.75" customHeight="1">
      <c r="G1132" s="442"/>
      <c r="M1132" s="231"/>
    </row>
    <row r="1133" ht="15.75" customHeight="1">
      <c r="G1133" s="442"/>
      <c r="M1133" s="231"/>
    </row>
    <row r="1134" ht="15.75" customHeight="1">
      <c r="G1134" s="442"/>
      <c r="M1134" s="231"/>
    </row>
    <row r="1135" ht="15.75" customHeight="1">
      <c r="G1135" s="442"/>
      <c r="M1135" s="231"/>
    </row>
    <row r="1136" ht="15.75" customHeight="1">
      <c r="G1136" s="442"/>
      <c r="M1136" s="231"/>
    </row>
    <row r="1137" ht="15.75" customHeight="1">
      <c r="G1137" s="442"/>
      <c r="M1137" s="231"/>
    </row>
    <row r="1138" ht="15.75" customHeight="1">
      <c r="G1138" s="442"/>
      <c r="M1138" s="231"/>
    </row>
    <row r="1139" ht="15.75" customHeight="1">
      <c r="G1139" s="442"/>
      <c r="M1139" s="231"/>
    </row>
    <row r="1140" ht="15.75" customHeight="1">
      <c r="G1140" s="442"/>
      <c r="M1140" s="231"/>
    </row>
  </sheetData>
  <mergeCells count="2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V1:V2"/>
    <mergeCell ref="W1:W2"/>
    <mergeCell ref="X1:X2"/>
    <mergeCell ref="Y1:Y2"/>
    <mergeCell ref="Z1:Z2"/>
    <mergeCell ref="AA1:AA2"/>
    <mergeCell ref="AB1:AB2"/>
    <mergeCell ref="AC1:AC2"/>
    <mergeCell ref="O1:O2"/>
    <mergeCell ref="P1:P2"/>
    <mergeCell ref="Q1:Q2"/>
    <mergeCell ref="R1:R2"/>
    <mergeCell ref="S1:S2"/>
    <mergeCell ref="T1:T2"/>
    <mergeCell ref="U1:U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3.5"/>
    <col customWidth="1" min="3" max="3" width="100.0"/>
    <col customWidth="1" min="4" max="5" width="16.25"/>
    <col customWidth="1" min="6" max="6" width="35.38"/>
    <col customWidth="1" min="7" max="7" width="76.5"/>
    <col customWidth="1" min="9" max="9" width="15.88"/>
    <col customWidth="1" min="10" max="10" width="18.38"/>
  </cols>
  <sheetData>
    <row r="1">
      <c r="A1" s="192" t="s">
        <v>0</v>
      </c>
      <c r="B1" s="192" t="s">
        <v>413</v>
      </c>
      <c r="C1" s="192" t="s">
        <v>414</v>
      </c>
      <c r="D1" s="193"/>
      <c r="E1" s="193" t="s">
        <v>415</v>
      </c>
      <c r="F1" s="194" t="s">
        <v>417</v>
      </c>
      <c r="G1" s="194" t="s">
        <v>418</v>
      </c>
    </row>
    <row r="2">
      <c r="A2" s="71"/>
      <c r="B2" s="195">
        <v>45898.0</v>
      </c>
      <c r="C2" s="196" t="s">
        <v>1182</v>
      </c>
      <c r="D2" s="197"/>
      <c r="E2" s="198">
        <v>1.3851E7</v>
      </c>
      <c r="F2" s="200" t="s">
        <v>1184</v>
      </c>
      <c r="G2" s="92"/>
      <c r="H2" s="201"/>
    </row>
    <row r="3">
      <c r="A3" s="71"/>
      <c r="B3" s="195">
        <v>45906.0</v>
      </c>
      <c r="C3" s="202" t="s">
        <v>1187</v>
      </c>
      <c r="D3" s="197"/>
      <c r="E3" s="198">
        <v>1.0E8</v>
      </c>
      <c r="F3" s="200" t="s">
        <v>1184</v>
      </c>
      <c r="G3" s="92"/>
      <c r="H3" s="201"/>
    </row>
    <row r="4">
      <c r="A4" s="71"/>
      <c r="B4" s="195">
        <v>45808.0</v>
      </c>
      <c r="C4" s="202" t="s">
        <v>1188</v>
      </c>
      <c r="D4" s="197"/>
      <c r="E4" s="198">
        <v>1.15E8</v>
      </c>
      <c r="F4" s="200" t="s">
        <v>429</v>
      </c>
      <c r="G4" s="92"/>
      <c r="H4" s="201"/>
    </row>
    <row r="5">
      <c r="A5" s="71"/>
      <c r="B5" s="195">
        <v>45813.0</v>
      </c>
      <c r="C5" s="205" t="s">
        <v>430</v>
      </c>
      <c r="D5" s="197" t="s">
        <v>432</v>
      </c>
      <c r="E5" s="198">
        <v>850000.0</v>
      </c>
      <c r="F5" s="204"/>
      <c r="G5" s="92"/>
    </row>
    <row r="6">
      <c r="A6" s="71"/>
      <c r="B6" s="195">
        <v>45813.0</v>
      </c>
      <c r="C6" s="196" t="s">
        <v>435</v>
      </c>
      <c r="D6" s="197"/>
      <c r="E6" s="198">
        <v>500000.0</v>
      </c>
      <c r="F6" s="200" t="s">
        <v>436</v>
      </c>
      <c r="G6" s="92"/>
    </row>
    <row r="7">
      <c r="A7" s="71"/>
      <c r="B7" s="195"/>
      <c r="C7" s="196" t="s">
        <v>439</v>
      </c>
      <c r="D7" s="197"/>
      <c r="E7" s="198">
        <v>300000.0</v>
      </c>
      <c r="F7" s="200" t="s">
        <v>436</v>
      </c>
      <c r="G7" s="92"/>
    </row>
    <row r="8">
      <c r="A8" s="71"/>
      <c r="B8" s="195"/>
      <c r="C8" s="196" t="s">
        <v>441</v>
      </c>
      <c r="D8" s="197"/>
      <c r="E8" s="198">
        <v>350000.0</v>
      </c>
      <c r="F8" s="200"/>
      <c r="G8" s="92"/>
    </row>
    <row r="9">
      <c r="A9" s="71"/>
      <c r="B9" s="195"/>
      <c r="C9" s="202"/>
      <c r="D9" s="197"/>
      <c r="E9" s="198"/>
      <c r="F9" s="200"/>
      <c r="G9" s="92"/>
    </row>
    <row r="10">
      <c r="A10" s="206"/>
      <c r="B10" s="195"/>
      <c r="C10" s="202"/>
      <c r="D10" s="197"/>
      <c r="E10" s="198"/>
      <c r="F10" s="204"/>
      <c r="G10" s="92"/>
    </row>
    <row r="11">
      <c r="A11" s="206"/>
      <c r="B11" s="195"/>
      <c r="C11" s="71"/>
      <c r="D11" s="197"/>
      <c r="E11" s="198"/>
      <c r="F11" s="200"/>
      <c r="G11" s="92"/>
    </row>
    <row r="12">
      <c r="A12" s="206"/>
      <c r="B12" s="195"/>
      <c r="C12" s="202"/>
      <c r="D12" s="197"/>
      <c r="E12" s="198"/>
      <c r="F12" s="200"/>
      <c r="G12" s="92"/>
      <c r="I12" s="92"/>
      <c r="J12" s="92"/>
      <c r="K12" s="92"/>
      <c r="L12" s="92"/>
      <c r="M12" s="92"/>
      <c r="N12" s="92"/>
      <c r="O12" s="92"/>
    </row>
    <row r="13">
      <c r="A13" s="206"/>
      <c r="B13" s="195"/>
      <c r="C13" s="71"/>
      <c r="D13" s="197"/>
      <c r="E13" s="198"/>
      <c r="F13" s="200"/>
      <c r="G13" s="208"/>
      <c r="I13" s="92"/>
      <c r="J13" s="71" t="s">
        <v>458</v>
      </c>
      <c r="K13" s="197"/>
      <c r="L13" s="203">
        <v>228752.0</v>
      </c>
      <c r="M13" s="199"/>
      <c r="N13" s="200" t="s">
        <v>459</v>
      </c>
      <c r="O13" s="92"/>
    </row>
    <row r="14">
      <c r="A14" s="206"/>
      <c r="B14" s="195"/>
      <c r="C14" s="71"/>
      <c r="D14" s="197"/>
      <c r="E14" s="198"/>
      <c r="F14" s="200"/>
      <c r="G14" s="92"/>
      <c r="I14" s="195">
        <v>45809.0</v>
      </c>
      <c r="J14" s="71" t="s">
        <v>462</v>
      </c>
      <c r="K14" s="197"/>
      <c r="L14" s="203">
        <v>800000.0</v>
      </c>
      <c r="M14" s="199"/>
      <c r="N14" s="200" t="s">
        <v>155</v>
      </c>
      <c r="O14" s="92"/>
    </row>
    <row r="15">
      <c r="A15" s="206"/>
      <c r="B15" s="195"/>
      <c r="C15" s="71"/>
      <c r="D15" s="197"/>
      <c r="E15" s="198"/>
      <c r="F15" s="200"/>
      <c r="G15" s="92"/>
      <c r="I15" s="195">
        <v>45810.0</v>
      </c>
      <c r="J15" s="71" t="s">
        <v>458</v>
      </c>
      <c r="K15" s="197"/>
      <c r="L15" s="203">
        <v>301784.0</v>
      </c>
      <c r="M15" s="199"/>
      <c r="N15" s="200" t="s">
        <v>155</v>
      </c>
      <c r="O15" s="92"/>
    </row>
    <row r="16">
      <c r="A16" s="206"/>
      <c r="B16" s="195"/>
      <c r="C16" s="71"/>
      <c r="D16" s="197"/>
      <c r="E16" s="198"/>
      <c r="F16" s="200"/>
      <c r="G16" s="212"/>
      <c r="I16" s="195">
        <v>45812.0</v>
      </c>
      <c r="J16" s="71" t="s">
        <v>458</v>
      </c>
      <c r="K16" s="197"/>
      <c r="L16" s="203">
        <v>593700.0</v>
      </c>
      <c r="M16" s="199"/>
      <c r="N16" s="200" t="s">
        <v>474</v>
      </c>
      <c r="O16" s="92"/>
    </row>
    <row r="17">
      <c r="A17" s="206"/>
      <c r="B17" s="195"/>
      <c r="C17" s="71"/>
      <c r="D17" s="197"/>
      <c r="E17" s="198"/>
      <c r="F17" s="200"/>
      <c r="G17" s="92"/>
      <c r="L17" s="213">
        <f>SUM(L13:L16)</f>
        <v>1924236</v>
      </c>
    </row>
    <row r="18">
      <c r="A18" s="206"/>
      <c r="B18" s="195"/>
      <c r="C18" s="71"/>
      <c r="D18" s="197"/>
      <c r="E18" s="198"/>
      <c r="F18" s="200"/>
      <c r="G18" s="92"/>
    </row>
    <row r="19">
      <c r="A19" s="206"/>
      <c r="B19" s="195"/>
      <c r="C19" s="71"/>
      <c r="D19" s="197"/>
      <c r="E19" s="198"/>
      <c r="F19" s="200"/>
      <c r="G19" s="212"/>
    </row>
    <row r="20">
      <c r="A20" s="206"/>
      <c r="B20" s="195"/>
      <c r="C20" s="71"/>
      <c r="D20" s="197"/>
      <c r="E20" s="198"/>
      <c r="F20" s="200"/>
      <c r="G20" s="92"/>
    </row>
    <row r="21">
      <c r="A21" s="206"/>
      <c r="B21" s="195"/>
      <c r="C21" s="71"/>
      <c r="D21" s="197"/>
      <c r="E21" s="198"/>
      <c r="F21" s="200"/>
      <c r="G21" s="92"/>
    </row>
    <row r="22">
      <c r="A22" s="206"/>
      <c r="B22" s="195"/>
      <c r="C22" s="71"/>
      <c r="D22" s="197"/>
      <c r="E22" s="198"/>
      <c r="F22" s="200"/>
      <c r="G22" s="92"/>
    </row>
    <row r="23">
      <c r="A23" s="206"/>
      <c r="B23" s="195"/>
      <c r="C23" s="71"/>
      <c r="D23" s="197"/>
      <c r="E23" s="198"/>
      <c r="F23" s="200"/>
      <c r="G23" s="92"/>
    </row>
    <row r="24">
      <c r="A24" s="206"/>
      <c r="B24" s="195"/>
      <c r="C24" s="71"/>
      <c r="D24" s="197"/>
      <c r="E24" s="198"/>
      <c r="F24" s="200"/>
      <c r="G24" s="92"/>
    </row>
    <row r="25">
      <c r="A25" s="206"/>
      <c r="B25" s="195"/>
      <c r="C25" s="71"/>
      <c r="D25" s="197"/>
      <c r="E25" s="198"/>
      <c r="F25" s="200"/>
      <c r="G25" s="92"/>
    </row>
    <row r="26">
      <c r="A26" s="206"/>
      <c r="B26" s="195"/>
      <c r="C26" s="71"/>
      <c r="D26" s="197"/>
      <c r="E26" s="198"/>
      <c r="F26" s="200"/>
      <c r="G26" s="92"/>
    </row>
    <row r="27">
      <c r="A27" s="206"/>
      <c r="B27" s="195"/>
      <c r="C27" s="71"/>
      <c r="D27" s="197"/>
      <c r="E27" s="198"/>
      <c r="F27" s="200"/>
      <c r="G27" s="92"/>
    </row>
    <row r="28">
      <c r="A28" s="206"/>
      <c r="B28" s="195"/>
      <c r="C28" s="71"/>
      <c r="D28" s="197"/>
      <c r="E28" s="198"/>
      <c r="F28" s="200"/>
      <c r="G28" s="92"/>
    </row>
    <row r="29">
      <c r="A29" s="206"/>
      <c r="B29" s="195"/>
      <c r="C29" s="71"/>
      <c r="D29" s="197"/>
      <c r="E29" s="203"/>
      <c r="F29" s="200"/>
      <c r="G29" s="92"/>
    </row>
    <row r="30">
      <c r="A30" s="206"/>
      <c r="B30" s="195"/>
      <c r="C30" s="71"/>
      <c r="D30" s="197"/>
      <c r="E30" s="203"/>
      <c r="F30" s="200"/>
      <c r="G30" s="92"/>
    </row>
    <row r="31">
      <c r="A31" s="206"/>
      <c r="B31" s="195"/>
      <c r="C31" s="71"/>
      <c r="D31" s="197"/>
      <c r="E31" s="203"/>
      <c r="F31" s="200"/>
      <c r="G31" s="92"/>
    </row>
    <row r="32">
      <c r="A32" s="206"/>
      <c r="B32" s="195"/>
      <c r="C32" s="71"/>
      <c r="D32" s="197"/>
      <c r="E32" s="203"/>
      <c r="F32" s="200"/>
      <c r="G32" s="92"/>
    </row>
    <row r="33">
      <c r="A33" s="206"/>
      <c r="B33" s="195"/>
      <c r="C33" s="71"/>
      <c r="D33" s="197"/>
      <c r="E33" s="203"/>
      <c r="F33" s="200"/>
      <c r="G33" s="92"/>
    </row>
    <row r="34">
      <c r="A34" s="206"/>
      <c r="B34" s="195"/>
      <c r="C34" s="71"/>
      <c r="D34" s="197"/>
      <c r="E34" s="203"/>
      <c r="F34" s="200"/>
      <c r="G34" s="92"/>
    </row>
    <row r="35">
      <c r="A35" s="206"/>
      <c r="B35" s="195"/>
      <c r="C35" s="71"/>
      <c r="D35" s="197"/>
      <c r="E35" s="203"/>
      <c r="F35" s="200"/>
      <c r="G35" s="92"/>
    </row>
    <row r="36">
      <c r="A36" s="219"/>
      <c r="B36" s="220"/>
      <c r="C36" s="275"/>
      <c r="D36" s="225"/>
      <c r="E36" s="336"/>
      <c r="F36" s="226"/>
      <c r="G36" s="22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>
      <c r="A37" s="206"/>
      <c r="B37" s="195"/>
      <c r="C37" s="71"/>
      <c r="D37" s="197"/>
      <c r="E37" s="203"/>
      <c r="F37" s="200"/>
      <c r="G37" s="92"/>
    </row>
    <row r="38">
      <c r="A38" s="206"/>
      <c r="B38" s="195"/>
      <c r="C38" s="71"/>
      <c r="D38" s="197"/>
      <c r="E38" s="203"/>
      <c r="F38" s="200"/>
      <c r="G38" s="92"/>
    </row>
    <row r="39">
      <c r="A39" s="206"/>
      <c r="B39" s="195"/>
      <c r="C39" s="71"/>
      <c r="D39" s="197"/>
      <c r="E39" s="203"/>
      <c r="F39" s="200"/>
      <c r="G39" s="92"/>
    </row>
    <row r="40">
      <c r="A40" s="206"/>
      <c r="B40" s="195"/>
      <c r="C40" s="71"/>
      <c r="D40" s="197"/>
      <c r="E40" s="203"/>
      <c r="F40" s="200"/>
      <c r="G40" s="92"/>
    </row>
    <row r="41">
      <c r="A41" s="206"/>
      <c r="B41" s="195"/>
      <c r="C41" s="71"/>
      <c r="D41" s="197"/>
      <c r="E41" s="203"/>
      <c r="F41" s="200"/>
      <c r="G41" s="92"/>
    </row>
    <row r="42">
      <c r="A42" s="206"/>
      <c r="B42" s="195"/>
      <c r="C42" s="71"/>
      <c r="D42" s="197"/>
      <c r="E42" s="203"/>
      <c r="F42" s="200"/>
      <c r="G42" s="92"/>
    </row>
    <row r="43">
      <c r="A43" s="206"/>
      <c r="B43" s="195"/>
      <c r="C43" s="71"/>
      <c r="D43" s="197"/>
      <c r="E43" s="203"/>
      <c r="F43" s="200"/>
      <c r="G43" s="92"/>
    </row>
    <row r="44">
      <c r="A44" s="206"/>
      <c r="B44" s="195"/>
      <c r="C44" s="71"/>
      <c r="D44" s="197"/>
      <c r="E44" s="203"/>
      <c r="F44" s="200"/>
      <c r="G44" s="92"/>
    </row>
    <row r="45">
      <c r="A45" s="206"/>
      <c r="B45" s="195"/>
      <c r="C45" s="71"/>
      <c r="D45" s="197"/>
      <c r="E45" s="203"/>
      <c r="F45" s="200"/>
      <c r="G45" s="92"/>
    </row>
    <row r="46">
      <c r="A46" s="206"/>
      <c r="B46" s="195"/>
      <c r="C46" s="71"/>
      <c r="D46" s="197"/>
      <c r="E46" s="203"/>
      <c r="F46" s="200"/>
      <c r="G46" s="208"/>
    </row>
    <row r="47">
      <c r="A47" s="206"/>
      <c r="B47" s="195"/>
      <c r="C47" s="71"/>
      <c r="D47" s="197"/>
      <c r="E47" s="203"/>
      <c r="F47" s="200"/>
      <c r="G47" s="208"/>
    </row>
    <row r="48">
      <c r="A48" s="206"/>
      <c r="B48" s="195"/>
      <c r="C48" s="71"/>
      <c r="D48" s="197"/>
      <c r="E48" s="203"/>
      <c r="F48" s="200"/>
      <c r="G48" s="92"/>
    </row>
    <row r="49">
      <c r="A49" s="206"/>
      <c r="B49" s="195"/>
      <c r="C49" s="71"/>
      <c r="D49" s="197"/>
      <c r="E49" s="203"/>
      <c r="F49" s="200"/>
      <c r="G49" s="92"/>
    </row>
    <row r="50">
      <c r="A50" s="206"/>
      <c r="B50" s="195"/>
      <c r="C50" s="71"/>
      <c r="D50" s="197"/>
      <c r="E50" s="203"/>
      <c r="F50" s="200"/>
      <c r="G50" s="208"/>
    </row>
    <row r="51">
      <c r="A51" s="206"/>
      <c r="B51" s="195"/>
      <c r="C51" s="71"/>
      <c r="D51" s="197"/>
      <c r="E51" s="203"/>
      <c r="F51" s="200"/>
      <c r="G51" s="92"/>
    </row>
    <row r="52">
      <c r="A52" s="206"/>
      <c r="B52" s="195"/>
      <c r="C52" s="71"/>
      <c r="D52" s="197"/>
      <c r="E52" s="203"/>
      <c r="F52" s="200"/>
      <c r="G52" s="92"/>
    </row>
    <row r="53">
      <c r="A53" s="206"/>
      <c r="B53" s="195"/>
      <c r="C53" s="71"/>
      <c r="D53" s="197"/>
      <c r="E53" s="203"/>
      <c r="F53" s="200"/>
      <c r="G53" s="208"/>
    </row>
    <row r="54">
      <c r="A54" s="206"/>
      <c r="B54" s="195"/>
      <c r="C54" s="71"/>
      <c r="D54" s="197"/>
      <c r="E54" s="203"/>
      <c r="F54" s="200"/>
      <c r="G54" s="92"/>
    </row>
    <row r="55">
      <c r="A55" s="206"/>
      <c r="B55" s="195"/>
      <c r="C55" s="71"/>
      <c r="D55" s="197"/>
      <c r="E55" s="203"/>
      <c r="F55" s="200"/>
      <c r="G55" s="208"/>
    </row>
    <row r="56">
      <c r="A56" s="206"/>
      <c r="B56" s="195"/>
      <c r="C56" s="71"/>
      <c r="D56" s="197"/>
      <c r="E56" s="203"/>
      <c r="F56" s="200"/>
      <c r="G56" s="92"/>
    </row>
    <row r="57">
      <c r="A57" s="206"/>
      <c r="B57" s="195"/>
      <c r="C57" s="71"/>
      <c r="D57" s="197"/>
      <c r="E57" s="203"/>
      <c r="F57" s="200"/>
      <c r="G57" s="92"/>
    </row>
    <row r="58">
      <c r="A58" s="206"/>
      <c r="B58" s="195"/>
      <c r="C58" s="71"/>
      <c r="D58" s="197"/>
      <c r="E58" s="203"/>
      <c r="F58" s="200"/>
      <c r="G58" s="208"/>
    </row>
    <row r="59">
      <c r="A59" s="206"/>
      <c r="C59" s="201"/>
      <c r="E59" s="203"/>
    </row>
    <row r="60">
      <c r="A60" s="206"/>
      <c r="B60" s="195"/>
      <c r="C60" s="71"/>
      <c r="D60" s="197"/>
      <c r="E60" s="203"/>
      <c r="F60" s="200"/>
      <c r="G60" s="92"/>
    </row>
    <row r="61">
      <c r="A61" s="206"/>
      <c r="G61" s="92"/>
    </row>
    <row r="62">
      <c r="A62" s="206"/>
      <c r="B62" s="195"/>
      <c r="C62" s="71"/>
      <c r="D62" s="197"/>
      <c r="E62" s="203"/>
      <c r="F62" s="200"/>
      <c r="G62" s="208"/>
    </row>
    <row r="63">
      <c r="A63" s="206"/>
      <c r="B63" s="195"/>
      <c r="C63" s="71"/>
      <c r="D63" s="197"/>
      <c r="E63" s="203"/>
      <c r="F63" s="200"/>
      <c r="G63" s="92"/>
    </row>
    <row r="64">
      <c r="A64" s="206"/>
      <c r="B64" s="195"/>
      <c r="C64" s="71"/>
      <c r="D64" s="197"/>
      <c r="E64" s="203"/>
      <c r="F64" s="200"/>
      <c r="G64" s="92"/>
    </row>
    <row r="65">
      <c r="A65" s="206"/>
      <c r="B65" s="195">
        <v>45931.0</v>
      </c>
      <c r="C65" s="71" t="s">
        <v>1070</v>
      </c>
      <c r="D65" s="197"/>
      <c r="E65" s="304">
        <v>200000.0</v>
      </c>
      <c r="F65" s="203"/>
      <c r="G65" s="200" t="s">
        <v>1105</v>
      </c>
      <c r="H65" s="293" t="s">
        <v>1106</v>
      </c>
    </row>
    <row r="66">
      <c r="A66" s="206"/>
      <c r="B66" s="195"/>
      <c r="C66" s="71"/>
      <c r="D66" s="197"/>
      <c r="E66" s="203"/>
      <c r="F66" s="200"/>
      <c r="G66" s="208"/>
    </row>
    <row r="67">
      <c r="A67" s="206"/>
      <c r="B67" s="195"/>
      <c r="C67" s="71"/>
      <c r="D67" s="197"/>
      <c r="E67" s="203"/>
      <c r="F67" s="200"/>
      <c r="G67" s="208"/>
    </row>
    <row r="68">
      <c r="A68" s="206"/>
      <c r="B68" s="195">
        <v>45937.0</v>
      </c>
      <c r="C68" s="310" t="s">
        <v>1125</v>
      </c>
      <c r="D68" s="197" t="s">
        <v>476</v>
      </c>
      <c r="E68" s="304">
        <v>35161.67</v>
      </c>
      <c r="F68" s="200" t="s">
        <v>470</v>
      </c>
      <c r="G68" s="348" t="s">
        <v>1280</v>
      </c>
    </row>
    <row r="69">
      <c r="A69" s="206"/>
      <c r="B69" s="195"/>
      <c r="C69" s="310" t="s">
        <v>1128</v>
      </c>
      <c r="D69" s="197" t="s">
        <v>476</v>
      </c>
      <c r="E69" s="304">
        <v>35161.67</v>
      </c>
      <c r="F69" s="200" t="s">
        <v>470</v>
      </c>
      <c r="G69" s="348" t="s">
        <v>1281</v>
      </c>
    </row>
    <row r="70">
      <c r="A70" s="206"/>
      <c r="B70" s="195"/>
      <c r="C70" s="71"/>
      <c r="D70" s="197"/>
      <c r="E70" s="203"/>
      <c r="F70" s="200"/>
      <c r="G70" s="349"/>
    </row>
    <row r="71">
      <c r="A71" s="206"/>
      <c r="B71" s="195">
        <v>45941.0</v>
      </c>
      <c r="C71" s="71" t="s">
        <v>1282</v>
      </c>
      <c r="D71" s="197" t="s">
        <v>476</v>
      </c>
      <c r="E71" s="233">
        <v>34223.5</v>
      </c>
      <c r="F71" s="200" t="s">
        <v>470</v>
      </c>
      <c r="G71" s="237" t="s">
        <v>648</v>
      </c>
    </row>
    <row r="72">
      <c r="A72" s="206"/>
      <c r="B72" s="195"/>
      <c r="C72" s="71"/>
      <c r="D72" s="71"/>
      <c r="E72" s="350"/>
      <c r="F72" s="200"/>
      <c r="G72" s="208"/>
    </row>
    <row r="73">
      <c r="A73" s="206"/>
      <c r="B73" s="92"/>
      <c r="C73" s="71"/>
      <c r="D73" s="71"/>
      <c r="E73" s="350"/>
      <c r="F73" s="200"/>
      <c r="G73" s="92"/>
    </row>
    <row r="74">
      <c r="A74" s="206"/>
      <c r="B74" s="92"/>
      <c r="C74" s="71"/>
      <c r="D74" s="71"/>
      <c r="E74" s="350"/>
      <c r="F74" s="200"/>
      <c r="G74" s="92"/>
    </row>
    <row r="75">
      <c r="A75" s="206"/>
      <c r="B75" s="92"/>
      <c r="C75" s="71"/>
      <c r="D75" s="71"/>
      <c r="E75" s="350"/>
      <c r="F75" s="200"/>
      <c r="G75" s="92"/>
    </row>
    <row r="76">
      <c r="A76" s="206"/>
      <c r="B76" s="195"/>
      <c r="C76" s="71"/>
      <c r="D76" s="71"/>
      <c r="E76" s="350"/>
      <c r="F76" s="200"/>
      <c r="G76" s="92"/>
    </row>
    <row r="77">
      <c r="A77" s="206"/>
      <c r="B77" s="195"/>
      <c r="C77" s="71"/>
      <c r="D77" s="71"/>
      <c r="E77" s="350"/>
      <c r="F77" s="200"/>
      <c r="G77" s="92"/>
    </row>
    <row r="78">
      <c r="A78" s="206"/>
      <c r="B78" s="195"/>
      <c r="C78" s="71"/>
      <c r="D78" s="71"/>
      <c r="E78" s="233"/>
      <c r="F78" s="200"/>
      <c r="G78" s="92"/>
    </row>
    <row r="79">
      <c r="A79" s="206"/>
      <c r="B79" s="195">
        <v>45829.0</v>
      </c>
      <c r="C79" s="71" t="s">
        <v>645</v>
      </c>
      <c r="D79" s="197" t="s">
        <v>476</v>
      </c>
      <c r="E79" s="233">
        <v>57440.0</v>
      </c>
      <c r="F79" s="200" t="s">
        <v>470</v>
      </c>
      <c r="G79" s="237" t="s">
        <v>648</v>
      </c>
    </row>
    <row r="80">
      <c r="A80" s="206"/>
      <c r="B80" s="195"/>
      <c r="C80" s="71" t="s">
        <v>649</v>
      </c>
      <c r="D80" s="197" t="s">
        <v>476</v>
      </c>
      <c r="E80" s="233">
        <v>46250.0</v>
      </c>
      <c r="F80" s="200" t="s">
        <v>470</v>
      </c>
      <c r="G80" s="237" t="s">
        <v>648</v>
      </c>
    </row>
    <row r="81">
      <c r="A81" s="206"/>
      <c r="B81" s="299">
        <v>45955.0</v>
      </c>
      <c r="C81" s="217" t="s">
        <v>1241</v>
      </c>
      <c r="D81" s="197"/>
      <c r="E81" s="198">
        <v>150000.0</v>
      </c>
      <c r="F81" s="300" t="s">
        <v>1086</v>
      </c>
      <c r="G81" s="355" t="s">
        <v>1087</v>
      </c>
      <c r="H81" s="356"/>
    </row>
    <row r="82">
      <c r="A82" s="206"/>
      <c r="B82" s="92"/>
      <c r="C82" s="200"/>
      <c r="D82" s="239"/>
      <c r="E82" s="203"/>
      <c r="F82" s="200"/>
      <c r="G82" s="357"/>
      <c r="H82" s="358"/>
    </row>
    <row r="83">
      <c r="A83" s="359"/>
      <c r="B83" s="360">
        <v>45957.0</v>
      </c>
      <c r="C83" s="71" t="s">
        <v>1297</v>
      </c>
      <c r="D83" s="362" t="s">
        <v>449</v>
      </c>
      <c r="E83" s="363">
        <v>170000.0</v>
      </c>
      <c r="F83" s="200" t="s">
        <v>1299</v>
      </c>
      <c r="G83" s="364"/>
      <c r="H83" s="36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</row>
    <row r="84">
      <c r="A84" s="206"/>
      <c r="B84" s="195"/>
      <c r="C84" s="71" t="s">
        <v>1306</v>
      </c>
      <c r="D84" s="367" t="s">
        <v>476</v>
      </c>
      <c r="E84" s="203">
        <v>45000.0</v>
      </c>
      <c r="F84" s="200" t="s">
        <v>1299</v>
      </c>
      <c r="G84" s="368" t="s">
        <v>1308</v>
      </c>
      <c r="H84" s="358"/>
    </row>
    <row r="85">
      <c r="A85" s="206"/>
      <c r="B85" s="195"/>
      <c r="C85" s="71" t="s">
        <v>1309</v>
      </c>
      <c r="D85" s="367" t="s">
        <v>476</v>
      </c>
      <c r="E85" s="203">
        <v>225000.0</v>
      </c>
      <c r="F85" s="200" t="s">
        <v>1299</v>
      </c>
      <c r="G85" s="368" t="s">
        <v>1310</v>
      </c>
      <c r="H85" s="358"/>
    </row>
    <row r="86">
      <c r="A86" s="206"/>
      <c r="B86" s="195"/>
      <c r="C86" s="71" t="s">
        <v>1311</v>
      </c>
      <c r="D86" s="367" t="s">
        <v>476</v>
      </c>
      <c r="E86" s="203">
        <v>45000.0</v>
      </c>
      <c r="F86" s="200" t="s">
        <v>1299</v>
      </c>
      <c r="G86" s="368" t="s">
        <v>1313</v>
      </c>
      <c r="H86" s="358"/>
    </row>
    <row r="87">
      <c r="A87" s="206"/>
      <c r="B87" s="195"/>
      <c r="C87" s="71" t="s">
        <v>1314</v>
      </c>
      <c r="D87" s="367" t="s">
        <v>476</v>
      </c>
      <c r="E87" s="203">
        <v>5000.0</v>
      </c>
      <c r="F87" s="200" t="s">
        <v>1299</v>
      </c>
      <c r="G87" s="368"/>
      <c r="H87" s="358"/>
    </row>
    <row r="88">
      <c r="A88" s="206"/>
      <c r="B88" s="195"/>
      <c r="C88" s="71" t="s">
        <v>1316</v>
      </c>
      <c r="D88" s="367" t="s">
        <v>476</v>
      </c>
      <c r="E88" s="203">
        <v>3000.0</v>
      </c>
      <c r="F88" s="200" t="s">
        <v>1299</v>
      </c>
      <c r="G88" s="368"/>
      <c r="H88" s="358"/>
    </row>
    <row r="89">
      <c r="A89" s="206"/>
      <c r="B89" s="195"/>
      <c r="C89" s="71" t="s">
        <v>556</v>
      </c>
      <c r="D89" s="367" t="s">
        <v>1319</v>
      </c>
      <c r="E89" s="203">
        <v>20000.0</v>
      </c>
      <c r="F89" s="200" t="s">
        <v>1299</v>
      </c>
      <c r="G89" s="368"/>
      <c r="H89" s="358"/>
    </row>
    <row r="90">
      <c r="A90" s="206"/>
      <c r="B90" s="195"/>
      <c r="C90" s="71" t="s">
        <v>1320</v>
      </c>
      <c r="D90" s="367"/>
      <c r="E90" s="203">
        <v>450000.0</v>
      </c>
      <c r="F90" s="200" t="s">
        <v>1299</v>
      </c>
      <c r="G90" s="368"/>
      <c r="H90" s="358"/>
    </row>
    <row r="91">
      <c r="A91" s="326"/>
      <c r="B91" s="351">
        <v>45958.0</v>
      </c>
      <c r="C91" s="327" t="s">
        <v>1321</v>
      </c>
      <c r="D91" s="334" t="s">
        <v>476</v>
      </c>
      <c r="E91" s="370">
        <v>30000.0</v>
      </c>
      <c r="F91" s="331" t="s">
        <v>1322</v>
      </c>
      <c r="G91" s="371" t="s">
        <v>1323</v>
      </c>
      <c r="H91" s="365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</row>
    <row r="92">
      <c r="A92" s="326"/>
      <c r="B92" s="351">
        <v>45958.0</v>
      </c>
      <c r="C92" s="372" t="s">
        <v>1325</v>
      </c>
      <c r="D92" s="334" t="s">
        <v>449</v>
      </c>
      <c r="E92" s="370">
        <v>6850000.0</v>
      </c>
      <c r="F92" s="331" t="s">
        <v>1326</v>
      </c>
      <c r="G92" s="371" t="s">
        <v>1328</v>
      </c>
      <c r="H92" s="36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</row>
    <row r="93">
      <c r="A93" s="326"/>
      <c r="B93" s="351">
        <v>45959.0</v>
      </c>
      <c r="C93" s="327" t="s">
        <v>1021</v>
      </c>
      <c r="D93" s="328" t="s">
        <v>476</v>
      </c>
      <c r="E93" s="370">
        <v>300000.0</v>
      </c>
      <c r="F93" s="331" t="s">
        <v>1335</v>
      </c>
      <c r="G93" s="371" t="s">
        <v>1336</v>
      </c>
      <c r="H93" s="365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</row>
    <row r="94">
      <c r="A94" s="326"/>
      <c r="B94" s="351"/>
      <c r="C94" s="327" t="s">
        <v>1337</v>
      </c>
      <c r="D94" s="334" t="s">
        <v>476</v>
      </c>
      <c r="E94" s="370">
        <v>35000.0</v>
      </c>
      <c r="F94" s="331" t="s">
        <v>1335</v>
      </c>
      <c r="G94" s="371" t="s">
        <v>1339</v>
      </c>
      <c r="H94" s="365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</row>
    <row r="95">
      <c r="A95" s="374"/>
      <c r="B95" s="375"/>
      <c r="C95" s="376" t="s">
        <v>1345</v>
      </c>
      <c r="D95" s="377" t="s">
        <v>476</v>
      </c>
      <c r="E95" s="378">
        <v>150000.0</v>
      </c>
      <c r="F95" s="379" t="s">
        <v>1346</v>
      </c>
      <c r="G95" s="41"/>
      <c r="H95" s="365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</row>
    <row r="96">
      <c r="A96" s="206"/>
      <c r="B96" s="195">
        <v>45961.0</v>
      </c>
      <c r="C96" s="71" t="s">
        <v>1297</v>
      </c>
      <c r="D96" s="197" t="s">
        <v>476</v>
      </c>
      <c r="E96" s="350">
        <v>85000.0</v>
      </c>
      <c r="F96" s="200" t="s">
        <v>1299</v>
      </c>
      <c r="G96" s="368" t="s">
        <v>1350</v>
      </c>
      <c r="H96" s="358"/>
    </row>
    <row r="97">
      <c r="A97" s="206"/>
      <c r="B97" s="360">
        <v>45961.0</v>
      </c>
      <c r="C97" s="205" t="s">
        <v>974</v>
      </c>
      <c r="D97" s="197"/>
      <c r="E97" s="203">
        <v>400000.0</v>
      </c>
      <c r="F97" s="200"/>
      <c r="G97" s="357"/>
      <c r="H97" s="358"/>
    </row>
    <row r="98">
      <c r="A98" s="245"/>
      <c r="B98" s="380"/>
      <c r="C98" s="247"/>
      <c r="D98" s="248"/>
      <c r="E98" s="249"/>
      <c r="F98" s="251"/>
      <c r="G98" s="381"/>
      <c r="H98" s="382"/>
      <c r="I98" s="254"/>
      <c r="J98" s="254"/>
      <c r="K98" s="254"/>
      <c r="L98" s="254"/>
      <c r="M98" s="254"/>
      <c r="N98" s="254"/>
      <c r="O98" s="254"/>
      <c r="P98" s="254"/>
      <c r="Q98" s="254"/>
      <c r="R98" s="254"/>
      <c r="S98" s="254"/>
      <c r="T98" s="254"/>
      <c r="U98" s="254"/>
      <c r="V98" s="254"/>
      <c r="W98" s="254"/>
      <c r="X98" s="254"/>
      <c r="Y98" s="254"/>
      <c r="Z98" s="254"/>
      <c r="AA98" s="254"/>
      <c r="AB98" s="254"/>
      <c r="AC98" s="254"/>
      <c r="AD98" s="254"/>
      <c r="AE98" s="254"/>
      <c r="AF98" s="254"/>
      <c r="AG98" s="254"/>
      <c r="AH98" s="254"/>
      <c r="AI98" s="254"/>
      <c r="AJ98" s="254"/>
      <c r="AK98" s="254"/>
      <c r="AL98" s="254"/>
      <c r="AM98" s="254"/>
      <c r="AN98" s="254"/>
      <c r="AO98" s="254"/>
      <c r="AP98" s="254"/>
      <c r="AQ98" s="254"/>
      <c r="AR98" s="254"/>
      <c r="AS98" s="254"/>
      <c r="AT98" s="254"/>
    </row>
    <row r="99">
      <c r="A99" s="383"/>
      <c r="B99" s="384">
        <v>45962.0</v>
      </c>
      <c r="C99" s="71" t="s">
        <v>1360</v>
      </c>
      <c r="D99" s="197" t="s">
        <v>476</v>
      </c>
      <c r="E99" s="385">
        <v>85000.0</v>
      </c>
      <c r="F99" s="200" t="s">
        <v>1299</v>
      </c>
      <c r="G99" s="357"/>
      <c r="H99" s="358"/>
    </row>
    <row r="100">
      <c r="A100" s="219"/>
      <c r="B100" s="273">
        <v>45964.0</v>
      </c>
      <c r="C100" s="275" t="s">
        <v>1287</v>
      </c>
      <c r="D100" s="223" t="s">
        <v>476</v>
      </c>
      <c r="E100" s="386">
        <v>50000.0</v>
      </c>
      <c r="F100" s="268" t="s">
        <v>582</v>
      </c>
      <c r="G100" s="357"/>
      <c r="H100" s="365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</row>
    <row r="101">
      <c r="A101" s="206"/>
      <c r="B101" s="195"/>
      <c r="C101" s="71" t="s">
        <v>1362</v>
      </c>
      <c r="D101" s="197" t="s">
        <v>747</v>
      </c>
      <c r="E101" s="387">
        <v>35000.0</v>
      </c>
      <c r="F101" s="268" t="s">
        <v>582</v>
      </c>
      <c r="G101" s="357"/>
      <c r="H101" s="358"/>
    </row>
    <row r="102">
      <c r="A102" s="206"/>
      <c r="B102" s="195"/>
      <c r="C102" s="71" t="s">
        <v>1365</v>
      </c>
      <c r="D102" s="197" t="s">
        <v>476</v>
      </c>
      <c r="E102" s="387">
        <v>75000.0</v>
      </c>
      <c r="F102" s="268" t="s">
        <v>582</v>
      </c>
      <c r="G102" s="368" t="s">
        <v>1367</v>
      </c>
      <c r="H102" s="358"/>
    </row>
    <row r="103">
      <c r="A103" s="206"/>
      <c r="B103" s="195"/>
      <c r="C103" s="71" t="s">
        <v>1369</v>
      </c>
      <c r="D103" s="197" t="s">
        <v>449</v>
      </c>
      <c r="E103" s="387">
        <v>170000.0</v>
      </c>
      <c r="F103" s="268" t="s">
        <v>582</v>
      </c>
      <c r="G103" s="368" t="s">
        <v>1372</v>
      </c>
      <c r="H103" s="358"/>
    </row>
    <row r="104">
      <c r="A104" s="206"/>
      <c r="B104" s="195"/>
      <c r="C104" s="71" t="s">
        <v>1374</v>
      </c>
      <c r="D104" s="197" t="s">
        <v>449</v>
      </c>
      <c r="E104" s="387">
        <v>350000.0</v>
      </c>
      <c r="F104" s="268" t="s">
        <v>582</v>
      </c>
      <c r="G104" s="357"/>
      <c r="H104" s="358"/>
    </row>
    <row r="105">
      <c r="A105" s="219"/>
      <c r="B105" s="273">
        <v>45964.0</v>
      </c>
      <c r="C105" s="275" t="s">
        <v>1376</v>
      </c>
      <c r="D105" s="223"/>
      <c r="E105" s="386">
        <v>250000.0</v>
      </c>
      <c r="F105" s="268" t="s">
        <v>1377</v>
      </c>
      <c r="G105" s="357"/>
      <c r="H105" s="365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</row>
    <row r="106">
      <c r="A106" s="206"/>
      <c r="B106" s="195"/>
      <c r="C106" s="71" t="s">
        <v>1380</v>
      </c>
      <c r="D106" s="197"/>
      <c r="E106" s="387">
        <v>200000.0</v>
      </c>
      <c r="F106" s="268" t="s">
        <v>1377</v>
      </c>
      <c r="G106" s="368"/>
      <c r="H106" s="358"/>
    </row>
    <row r="107">
      <c r="A107" s="206"/>
      <c r="B107" s="195"/>
      <c r="C107" s="71" t="s">
        <v>1354</v>
      </c>
      <c r="D107" s="197"/>
      <c r="E107" s="387">
        <v>100000.0</v>
      </c>
      <c r="F107" s="268" t="s">
        <v>1377</v>
      </c>
      <c r="G107" s="357"/>
      <c r="H107" s="358"/>
    </row>
    <row r="108">
      <c r="A108" s="219"/>
      <c r="B108" s="273">
        <v>45965.0</v>
      </c>
      <c r="C108" s="388" t="s">
        <v>1382</v>
      </c>
      <c r="D108" s="223"/>
      <c r="E108" s="386">
        <v>65000.0</v>
      </c>
      <c r="F108" s="268" t="s">
        <v>1384</v>
      </c>
      <c r="G108" s="368" t="s">
        <v>1385</v>
      </c>
      <c r="H108" s="365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</row>
    <row r="109">
      <c r="A109" s="206"/>
      <c r="B109" s="195"/>
      <c r="C109" s="390" t="s">
        <v>716</v>
      </c>
      <c r="D109" s="197"/>
      <c r="E109" s="387">
        <v>35000.0</v>
      </c>
      <c r="F109" s="268" t="s">
        <v>1384</v>
      </c>
      <c r="G109" s="357"/>
      <c r="H109" s="358"/>
    </row>
    <row r="110">
      <c r="A110" s="219"/>
      <c r="B110" s="273">
        <v>45967.0</v>
      </c>
      <c r="C110" s="388" t="s">
        <v>1388</v>
      </c>
      <c r="D110" s="223"/>
      <c r="E110" s="386">
        <v>20000.0</v>
      </c>
      <c r="F110" s="268" t="s">
        <v>1384</v>
      </c>
      <c r="G110" s="368" t="s">
        <v>1385</v>
      </c>
      <c r="H110" s="36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</row>
    <row r="111">
      <c r="A111" s="219"/>
      <c r="B111" s="273">
        <v>45968.0</v>
      </c>
      <c r="C111" s="393" t="s">
        <v>1393</v>
      </c>
      <c r="D111" s="223"/>
      <c r="E111" s="386">
        <v>650000.0</v>
      </c>
      <c r="F111" s="268" t="s">
        <v>1396</v>
      </c>
      <c r="G111" s="368" t="s">
        <v>1398</v>
      </c>
      <c r="H111" s="365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</row>
    <row r="112">
      <c r="A112" s="92"/>
      <c r="B112" s="195"/>
      <c r="C112" s="390" t="s">
        <v>1404</v>
      </c>
      <c r="D112" s="92"/>
      <c r="E112" s="387">
        <v>45000.0</v>
      </c>
      <c r="F112" s="268" t="s">
        <v>1396</v>
      </c>
      <c r="G112" s="357"/>
      <c r="H112" s="358"/>
    </row>
    <row r="113">
      <c r="A113" s="206"/>
      <c r="B113" s="195"/>
      <c r="C113" s="390" t="s">
        <v>1405</v>
      </c>
      <c r="D113" s="197"/>
      <c r="E113" s="387">
        <v>40000.0</v>
      </c>
      <c r="F113" s="268" t="s">
        <v>1396</v>
      </c>
      <c r="G113" s="357"/>
      <c r="H113" s="358"/>
    </row>
    <row r="114">
      <c r="A114" s="206"/>
      <c r="B114" s="195"/>
      <c r="C114" s="390" t="s">
        <v>716</v>
      </c>
      <c r="D114" s="197"/>
      <c r="E114" s="387">
        <v>40000.0</v>
      </c>
      <c r="F114" s="268" t="s">
        <v>1396</v>
      </c>
      <c r="G114" s="368"/>
      <c r="H114" s="358"/>
    </row>
    <row r="115">
      <c r="A115" s="219"/>
      <c r="B115" s="273">
        <v>45969.0</v>
      </c>
      <c r="C115" s="396" t="s">
        <v>1406</v>
      </c>
      <c r="D115" s="223"/>
      <c r="E115" s="386">
        <v>100000.0</v>
      </c>
      <c r="F115" s="268" t="s">
        <v>1407</v>
      </c>
      <c r="G115" s="357"/>
      <c r="H115" s="365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</row>
    <row r="116">
      <c r="A116" s="219"/>
      <c r="B116" s="273">
        <v>45970.0</v>
      </c>
      <c r="C116" s="388" t="s">
        <v>1382</v>
      </c>
      <c r="D116" s="223"/>
      <c r="E116" s="386">
        <v>50000.0</v>
      </c>
      <c r="F116" s="268" t="s">
        <v>1411</v>
      </c>
      <c r="G116" s="368" t="s">
        <v>1412</v>
      </c>
      <c r="H116" s="36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</row>
    <row r="117">
      <c r="A117" s="359"/>
      <c r="B117" s="360">
        <v>45972.0</v>
      </c>
      <c r="C117" s="268" t="s">
        <v>1415</v>
      </c>
      <c r="D117" s="400"/>
      <c r="E117" s="386">
        <v>150000.0</v>
      </c>
      <c r="F117" s="268" t="s">
        <v>606</v>
      </c>
      <c r="G117" s="401" t="s">
        <v>1416</v>
      </c>
      <c r="H117" s="365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</row>
    <row r="118">
      <c r="A118" s="206"/>
      <c r="B118" s="195"/>
      <c r="C118" s="71" t="s">
        <v>1421</v>
      </c>
      <c r="D118" s="197"/>
      <c r="E118" s="387">
        <v>50000.0</v>
      </c>
      <c r="F118" s="200" t="s">
        <v>606</v>
      </c>
      <c r="G118" s="368" t="s">
        <v>1422</v>
      </c>
      <c r="H118" s="358"/>
    </row>
    <row r="119">
      <c r="A119" s="359"/>
      <c r="B119" s="360">
        <v>45972.0</v>
      </c>
      <c r="C119" s="216" t="s">
        <v>500</v>
      </c>
      <c r="D119" s="400"/>
      <c r="E119" s="386">
        <v>70000.0</v>
      </c>
      <c r="F119" s="200" t="s">
        <v>1301</v>
      </c>
      <c r="G119" s="401"/>
      <c r="H119" s="365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</row>
    <row r="120">
      <c r="A120" s="359"/>
      <c r="B120" s="360"/>
      <c r="C120" s="366" t="s">
        <v>1305</v>
      </c>
      <c r="D120" s="367" t="s">
        <v>554</v>
      </c>
      <c r="E120" s="386">
        <v>40000.0</v>
      </c>
      <c r="F120" s="200" t="s">
        <v>1307</v>
      </c>
      <c r="G120" s="401"/>
      <c r="H120" s="365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</row>
    <row r="121">
      <c r="A121" s="359"/>
      <c r="B121" s="360"/>
      <c r="C121" s="366" t="s">
        <v>587</v>
      </c>
      <c r="D121" s="400"/>
      <c r="E121" s="386">
        <v>50000.0</v>
      </c>
      <c r="F121" s="200" t="s">
        <v>1301</v>
      </c>
      <c r="G121" s="401"/>
      <c r="H121" s="365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</row>
    <row r="122">
      <c r="A122" s="359"/>
      <c r="B122" s="360">
        <v>45980.0</v>
      </c>
      <c r="C122" s="268" t="s">
        <v>1435</v>
      </c>
      <c r="D122" s="367" t="s">
        <v>1011</v>
      </c>
      <c r="E122" s="386">
        <v>1000000.0</v>
      </c>
      <c r="F122" s="268" t="s">
        <v>582</v>
      </c>
      <c r="G122" s="401" t="s">
        <v>1436</v>
      </c>
      <c r="H122" s="365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</row>
    <row r="123">
      <c r="A123" s="206"/>
      <c r="B123" s="195"/>
      <c r="C123" s="71" t="s">
        <v>1437</v>
      </c>
      <c r="D123" s="367" t="s">
        <v>554</v>
      </c>
      <c r="E123" s="387">
        <v>200000.0</v>
      </c>
      <c r="F123" s="268" t="s">
        <v>582</v>
      </c>
      <c r="G123" s="357"/>
      <c r="H123" s="358"/>
    </row>
    <row r="124">
      <c r="A124" s="206"/>
      <c r="B124" s="195"/>
      <c r="C124" s="71" t="s">
        <v>1438</v>
      </c>
      <c r="D124" s="367" t="s">
        <v>1011</v>
      </c>
      <c r="E124" s="387">
        <v>200000.0</v>
      </c>
      <c r="F124" s="200" t="s">
        <v>597</v>
      </c>
      <c r="G124" s="357"/>
      <c r="H124" s="358"/>
    </row>
    <row r="125">
      <c r="A125" s="206"/>
      <c r="B125" s="409"/>
      <c r="C125" s="71" t="s">
        <v>1442</v>
      </c>
      <c r="D125" s="410"/>
      <c r="E125" s="387">
        <v>50000.0</v>
      </c>
      <c r="F125" s="200" t="s">
        <v>597</v>
      </c>
      <c r="G125" s="357"/>
      <c r="H125" s="358"/>
    </row>
    <row r="126">
      <c r="A126" s="206"/>
      <c r="B126" s="360">
        <v>45980.0</v>
      </c>
      <c r="C126" s="71" t="s">
        <v>1444</v>
      </c>
      <c r="D126" s="197"/>
      <c r="E126" s="387">
        <v>200000.0</v>
      </c>
      <c r="F126" s="268" t="s">
        <v>606</v>
      </c>
      <c r="G126" s="357"/>
      <c r="H126" s="358"/>
    </row>
    <row r="127">
      <c r="A127" s="206"/>
      <c r="B127" s="195"/>
      <c r="C127" s="71" t="s">
        <v>1448</v>
      </c>
      <c r="D127" s="197"/>
      <c r="E127" s="387">
        <v>130000.0</v>
      </c>
      <c r="F127" s="268" t="s">
        <v>606</v>
      </c>
      <c r="G127" s="357"/>
      <c r="H127" s="358"/>
    </row>
    <row r="128">
      <c r="A128" s="206"/>
      <c r="B128" s="360">
        <v>45982.0</v>
      </c>
      <c r="C128" s="71" t="s">
        <v>1449</v>
      </c>
      <c r="D128" s="197" t="s">
        <v>449</v>
      </c>
      <c r="E128" s="387">
        <v>200000.0</v>
      </c>
      <c r="F128" s="268" t="s">
        <v>606</v>
      </c>
      <c r="G128" s="357"/>
      <c r="H128" s="358"/>
    </row>
    <row r="129">
      <c r="A129" s="206"/>
      <c r="B129" s="360">
        <v>45982.0</v>
      </c>
      <c r="C129" s="71" t="s">
        <v>1450</v>
      </c>
      <c r="D129" s="197"/>
      <c r="E129" s="387">
        <v>50000.0</v>
      </c>
      <c r="F129" s="200" t="s">
        <v>597</v>
      </c>
      <c r="G129" s="357"/>
      <c r="H129" s="358"/>
    </row>
    <row r="130">
      <c r="A130" s="206"/>
      <c r="B130" s="360">
        <v>45985.0</v>
      </c>
      <c r="C130" s="71" t="s">
        <v>545</v>
      </c>
      <c r="D130" s="197"/>
      <c r="E130" s="387">
        <v>20000.0</v>
      </c>
      <c r="F130" s="268" t="s">
        <v>1451</v>
      </c>
      <c r="G130" s="357"/>
      <c r="H130" s="358"/>
    </row>
    <row r="131">
      <c r="A131" s="206"/>
      <c r="B131" s="360"/>
      <c r="C131" s="71" t="s">
        <v>1452</v>
      </c>
      <c r="D131" s="197"/>
      <c r="E131" s="387">
        <v>10000.0</v>
      </c>
      <c r="F131" s="268" t="s">
        <v>1451</v>
      </c>
      <c r="G131" s="357"/>
      <c r="H131" s="358"/>
    </row>
    <row r="132">
      <c r="A132" s="206"/>
      <c r="B132" s="360"/>
      <c r="C132" s="71" t="s">
        <v>802</v>
      </c>
      <c r="D132" s="197"/>
      <c r="E132" s="387">
        <v>20000.0</v>
      </c>
      <c r="F132" s="268" t="s">
        <v>1451</v>
      </c>
      <c r="G132" s="357"/>
      <c r="H132" s="358"/>
    </row>
    <row r="133">
      <c r="A133" s="206"/>
      <c r="B133" s="360">
        <v>45985.0</v>
      </c>
      <c r="C133" s="71" t="s">
        <v>1455</v>
      </c>
      <c r="D133" s="197" t="s">
        <v>449</v>
      </c>
      <c r="E133" s="387">
        <v>150000.0</v>
      </c>
      <c r="F133" s="268" t="s">
        <v>606</v>
      </c>
      <c r="G133" s="357"/>
      <c r="H133" s="358"/>
    </row>
    <row r="134">
      <c r="A134" s="206"/>
      <c r="B134" s="360"/>
      <c r="C134" s="71" t="s">
        <v>1457</v>
      </c>
      <c r="D134" s="197"/>
      <c r="E134" s="387">
        <v>50000.0</v>
      </c>
      <c r="F134" s="268" t="s">
        <v>606</v>
      </c>
      <c r="G134" s="357"/>
      <c r="H134" s="358"/>
    </row>
    <row r="135">
      <c r="A135" s="206"/>
      <c r="B135" s="360">
        <v>45985.0</v>
      </c>
      <c r="C135" s="71" t="s">
        <v>1459</v>
      </c>
      <c r="D135" s="197"/>
      <c r="E135" s="387">
        <v>250000.0</v>
      </c>
      <c r="F135" s="200" t="s">
        <v>1461</v>
      </c>
      <c r="G135" s="357"/>
      <c r="H135" s="358"/>
    </row>
    <row r="136">
      <c r="A136" s="206"/>
      <c r="B136" s="414"/>
      <c r="C136" s="415" t="s">
        <v>1426</v>
      </c>
      <c r="D136" s="197"/>
      <c r="E136" s="387">
        <v>0.0</v>
      </c>
      <c r="F136" s="200" t="s">
        <v>1461</v>
      </c>
      <c r="G136" s="416" t="s">
        <v>1462</v>
      </c>
      <c r="H136" s="358"/>
    </row>
    <row r="137">
      <c r="A137" s="206"/>
      <c r="B137" s="299">
        <v>45986.0</v>
      </c>
      <c r="C137" s="217" t="s">
        <v>1241</v>
      </c>
      <c r="D137" s="197"/>
      <c r="E137" s="198">
        <v>150000.0</v>
      </c>
      <c r="F137" s="300" t="s">
        <v>1086</v>
      </c>
      <c r="G137" s="355" t="s">
        <v>1087</v>
      </c>
      <c r="H137" s="356"/>
    </row>
    <row r="138">
      <c r="A138" s="206"/>
      <c r="B138" s="360">
        <v>45991.0</v>
      </c>
      <c r="C138" s="205" t="s">
        <v>1122</v>
      </c>
      <c r="D138" s="197"/>
      <c r="E138" s="203">
        <v>400000.0</v>
      </c>
      <c r="F138" s="200"/>
      <c r="G138" s="357"/>
      <c r="H138" s="358"/>
    </row>
    <row r="139">
      <c r="A139" s="245"/>
      <c r="B139" s="380"/>
      <c r="C139" s="247"/>
      <c r="D139" s="248"/>
      <c r="E139" s="249"/>
      <c r="F139" s="251"/>
      <c r="G139" s="381"/>
      <c r="H139" s="382"/>
      <c r="I139" s="254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  <c r="T139" s="254"/>
      <c r="U139" s="254"/>
      <c r="V139" s="254"/>
      <c r="W139" s="254"/>
      <c r="X139" s="254"/>
      <c r="Y139" s="254"/>
      <c r="Z139" s="254"/>
      <c r="AA139" s="254"/>
      <c r="AB139" s="254"/>
      <c r="AC139" s="254"/>
      <c r="AD139" s="254"/>
      <c r="AE139" s="254"/>
      <c r="AF139" s="254"/>
      <c r="AG139" s="254"/>
      <c r="AH139" s="254"/>
      <c r="AI139" s="254"/>
      <c r="AJ139" s="254"/>
      <c r="AK139" s="254"/>
      <c r="AL139" s="254"/>
      <c r="AM139" s="254"/>
      <c r="AN139" s="254"/>
      <c r="AO139" s="254"/>
      <c r="AP139" s="254"/>
      <c r="AQ139" s="254"/>
      <c r="AR139" s="254"/>
      <c r="AS139" s="254"/>
      <c r="AT139" s="254"/>
    </row>
    <row r="140">
      <c r="A140" s="417"/>
      <c r="B140" s="418">
        <v>45995.0</v>
      </c>
      <c r="C140" s="71" t="s">
        <v>1267</v>
      </c>
      <c r="D140" s="197"/>
      <c r="E140" s="419">
        <v>50000.0</v>
      </c>
      <c r="F140" s="200" t="s">
        <v>1475</v>
      </c>
      <c r="G140" s="357"/>
      <c r="H140" s="358"/>
    </row>
    <row r="141">
      <c r="A141" s="206"/>
      <c r="B141" s="360">
        <v>45999.0</v>
      </c>
      <c r="C141" s="71" t="s">
        <v>1476</v>
      </c>
      <c r="D141" s="197"/>
      <c r="E141" s="419">
        <v>150000.0</v>
      </c>
      <c r="F141" s="200" t="s">
        <v>1477</v>
      </c>
      <c r="G141" s="357"/>
      <c r="H141" s="358"/>
    </row>
    <row r="142">
      <c r="A142" s="420"/>
      <c r="B142" s="360"/>
      <c r="C142" s="421" t="s">
        <v>1479</v>
      </c>
      <c r="D142" s="197"/>
      <c r="E142" s="419">
        <v>20000.0</v>
      </c>
      <c r="F142" s="200" t="s">
        <v>1477</v>
      </c>
      <c r="G142" s="357"/>
      <c r="H142" s="358"/>
    </row>
    <row r="143">
      <c r="A143" s="420"/>
      <c r="B143" s="360"/>
      <c r="C143" s="421"/>
      <c r="D143" s="197"/>
      <c r="E143" s="419"/>
      <c r="F143" s="200"/>
      <c r="G143" s="368"/>
    </row>
    <row r="144">
      <c r="A144" s="420"/>
      <c r="B144" s="422">
        <v>46001.0</v>
      </c>
      <c r="C144" s="421" t="s">
        <v>1481</v>
      </c>
      <c r="D144" s="197"/>
      <c r="E144" s="419">
        <v>60000.0</v>
      </c>
      <c r="F144" s="200" t="s">
        <v>1483</v>
      </c>
      <c r="G144" s="208" t="s">
        <v>1485</v>
      </c>
    </row>
    <row r="145">
      <c r="A145" s="420"/>
      <c r="B145" s="422"/>
      <c r="C145" s="421" t="s">
        <v>1488</v>
      </c>
      <c r="D145" s="197"/>
      <c r="E145" s="419">
        <v>15000.0</v>
      </c>
      <c r="F145" s="200" t="s">
        <v>1483</v>
      </c>
      <c r="G145" s="208"/>
    </row>
    <row r="146">
      <c r="A146" s="420"/>
      <c r="B146" s="422">
        <v>46003.0</v>
      </c>
      <c r="C146" s="421" t="s">
        <v>1492</v>
      </c>
      <c r="D146" s="197"/>
      <c r="E146" s="419">
        <v>60000.0</v>
      </c>
      <c r="F146" s="200" t="s">
        <v>1477</v>
      </c>
      <c r="G146" s="208"/>
    </row>
    <row r="147">
      <c r="A147" s="420"/>
      <c r="B147" s="422"/>
      <c r="C147" s="421" t="s">
        <v>1494</v>
      </c>
      <c r="D147" s="197"/>
      <c r="E147" s="419">
        <v>50000.0</v>
      </c>
      <c r="F147" s="200" t="s">
        <v>1477</v>
      </c>
      <c r="G147" s="208"/>
    </row>
    <row r="148">
      <c r="A148" s="420"/>
      <c r="B148" s="422"/>
      <c r="C148" s="421" t="s">
        <v>1495</v>
      </c>
      <c r="D148" s="197"/>
      <c r="E148" s="419">
        <v>150000.0</v>
      </c>
      <c r="F148" s="200" t="s">
        <v>1477</v>
      </c>
      <c r="G148" s="208"/>
    </row>
    <row r="149">
      <c r="A149" s="326"/>
      <c r="B149" s="423">
        <v>46009.0</v>
      </c>
      <c r="C149" s="327" t="s">
        <v>1497</v>
      </c>
      <c r="D149" s="328"/>
      <c r="E149" s="424">
        <v>380000.0</v>
      </c>
      <c r="F149" s="200" t="s">
        <v>1498</v>
      </c>
      <c r="G149" s="332" t="s">
        <v>1499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</row>
    <row r="150">
      <c r="A150" s="326"/>
      <c r="B150" s="351"/>
      <c r="C150" s="352" t="s">
        <v>1289</v>
      </c>
      <c r="D150" s="334" t="s">
        <v>476</v>
      </c>
      <c r="E150" s="424">
        <v>100000.0</v>
      </c>
      <c r="F150" s="200" t="s">
        <v>1447</v>
      </c>
      <c r="G150" s="346" t="s">
        <v>1292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</row>
    <row r="151">
      <c r="A151" s="326"/>
      <c r="B151" s="316"/>
      <c r="C151" s="327" t="s">
        <v>1508</v>
      </c>
      <c r="D151" s="328"/>
      <c r="E151" s="424">
        <v>150000.0</v>
      </c>
      <c r="F151" s="200" t="s">
        <v>1447</v>
      </c>
      <c r="G151" s="34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</row>
    <row r="152">
      <c r="A152" s="326"/>
      <c r="B152" s="316"/>
      <c r="C152" s="327" t="s">
        <v>1513</v>
      </c>
      <c r="D152" s="328"/>
      <c r="E152" s="424">
        <v>100000.0</v>
      </c>
      <c r="F152" s="200" t="s">
        <v>1447</v>
      </c>
      <c r="G152" s="34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</row>
    <row r="153">
      <c r="A153" s="326"/>
      <c r="B153" s="316"/>
      <c r="C153" s="327" t="s">
        <v>1515</v>
      </c>
      <c r="D153" s="334" t="s">
        <v>1516</v>
      </c>
      <c r="E153" s="424">
        <v>100000.0</v>
      </c>
      <c r="F153" s="200" t="s">
        <v>1447</v>
      </c>
      <c r="G153" s="34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</row>
    <row r="154">
      <c r="A154" s="326"/>
      <c r="B154" s="426"/>
      <c r="C154" s="327" t="s">
        <v>1519</v>
      </c>
      <c r="D154" s="334" t="s">
        <v>482</v>
      </c>
      <c r="E154" s="424">
        <v>20000.0</v>
      </c>
      <c r="F154" s="200" t="s">
        <v>1447</v>
      </c>
      <c r="G154" s="332" t="s">
        <v>1522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</row>
    <row r="155">
      <c r="A155" s="436"/>
      <c r="B155" s="438"/>
      <c r="C155" s="440" t="s">
        <v>1523</v>
      </c>
      <c r="D155" s="328"/>
      <c r="E155" s="424">
        <v>100000.0</v>
      </c>
      <c r="F155" s="200" t="s">
        <v>1447</v>
      </c>
      <c r="G155" s="332" t="s">
        <v>1522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</row>
    <row r="156">
      <c r="A156" s="436"/>
      <c r="B156" s="351">
        <v>46009.0</v>
      </c>
      <c r="C156" s="440" t="s">
        <v>1529</v>
      </c>
      <c r="D156" s="334" t="s">
        <v>1530</v>
      </c>
      <c r="E156" s="424">
        <v>1400000.0</v>
      </c>
      <c r="F156" s="200" t="s">
        <v>1532</v>
      </c>
      <c r="G156" s="332" t="s">
        <v>1534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</row>
    <row r="157">
      <c r="A157" s="436"/>
      <c r="B157" s="438"/>
      <c r="C157" s="440" t="s">
        <v>1405</v>
      </c>
      <c r="D157" s="328"/>
      <c r="E157" s="424">
        <v>450000.0</v>
      </c>
      <c r="F157" s="200" t="s">
        <v>1532</v>
      </c>
      <c r="G157" s="332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</row>
    <row r="158">
      <c r="A158" s="206"/>
      <c r="B158" s="360">
        <v>46014.0</v>
      </c>
      <c r="C158" s="71" t="s">
        <v>1549</v>
      </c>
      <c r="D158" s="197"/>
      <c r="E158" s="419">
        <v>65000.0</v>
      </c>
      <c r="F158" s="200" t="s">
        <v>1551</v>
      </c>
      <c r="G158" s="208" t="s">
        <v>1552</v>
      </c>
    </row>
    <row r="159">
      <c r="A159" s="420"/>
      <c r="B159" s="448"/>
      <c r="C159" s="421" t="s">
        <v>1556</v>
      </c>
      <c r="D159" s="197"/>
      <c r="E159" s="419">
        <v>50000.0</v>
      </c>
      <c r="F159" s="200" t="s">
        <v>1551</v>
      </c>
      <c r="G159" s="92"/>
    </row>
    <row r="160">
      <c r="A160" s="420"/>
      <c r="B160" s="448"/>
      <c r="C160" s="421" t="s">
        <v>1561</v>
      </c>
      <c r="D160" s="197"/>
      <c r="E160" s="419">
        <v>25000.0</v>
      </c>
      <c r="F160" s="200" t="s">
        <v>1551</v>
      </c>
      <c r="G160" s="92"/>
    </row>
    <row r="161">
      <c r="A161" s="206"/>
      <c r="B161" s="360">
        <v>46015.0</v>
      </c>
      <c r="C161" s="71" t="s">
        <v>1564</v>
      </c>
      <c r="D161" s="197"/>
      <c r="E161" s="419">
        <v>30000.0</v>
      </c>
      <c r="F161" s="200" t="s">
        <v>1565</v>
      </c>
      <c r="G161" s="208" t="s">
        <v>1566</v>
      </c>
    </row>
    <row r="162">
      <c r="A162" s="206"/>
      <c r="B162" s="299">
        <v>46016.0</v>
      </c>
      <c r="C162" s="217" t="s">
        <v>1241</v>
      </c>
      <c r="D162" s="197"/>
      <c r="E162" s="198">
        <v>150000.0</v>
      </c>
      <c r="F162" s="300" t="s">
        <v>1086</v>
      </c>
      <c r="G162" s="355" t="s">
        <v>1087</v>
      </c>
      <c r="H162" s="356"/>
    </row>
    <row r="163">
      <c r="A163" s="206"/>
      <c r="B163" s="360">
        <v>46016.0</v>
      </c>
      <c r="C163" s="71" t="s">
        <v>523</v>
      </c>
      <c r="D163" s="334" t="s">
        <v>482</v>
      </c>
      <c r="E163" s="419">
        <v>80000.0</v>
      </c>
      <c r="F163" s="200" t="s">
        <v>1447</v>
      </c>
      <c r="G163" s="357"/>
      <c r="H163" s="358"/>
    </row>
    <row r="164">
      <c r="A164" s="206"/>
      <c r="B164" s="195"/>
      <c r="C164" s="71" t="s">
        <v>1569</v>
      </c>
      <c r="D164" s="334" t="s">
        <v>482</v>
      </c>
      <c r="E164" s="419">
        <v>80000.0</v>
      </c>
      <c r="F164" s="200" t="s">
        <v>1447</v>
      </c>
      <c r="G164" s="357"/>
      <c r="H164" s="358"/>
    </row>
    <row r="165">
      <c r="A165" s="206"/>
      <c r="B165" s="195"/>
      <c r="C165" s="71" t="s">
        <v>927</v>
      </c>
      <c r="D165" s="197" t="s">
        <v>449</v>
      </c>
      <c r="E165" s="419">
        <v>90000.0</v>
      </c>
      <c r="F165" s="200" t="s">
        <v>1447</v>
      </c>
      <c r="G165" s="357"/>
      <c r="H165" s="358"/>
    </row>
    <row r="166">
      <c r="B166" s="195"/>
      <c r="C166" s="71" t="s">
        <v>824</v>
      </c>
      <c r="D166" s="197" t="s">
        <v>476</v>
      </c>
      <c r="E166" s="419">
        <v>70000.0</v>
      </c>
      <c r="F166" s="200" t="s">
        <v>1447</v>
      </c>
      <c r="G166" s="357"/>
      <c r="H166" s="358"/>
    </row>
    <row r="167">
      <c r="A167" s="206"/>
      <c r="B167" s="195"/>
      <c r="C167" s="71" t="s">
        <v>1571</v>
      </c>
      <c r="D167" s="197"/>
      <c r="E167" s="419">
        <v>40000.0</v>
      </c>
      <c r="F167" s="200" t="s">
        <v>1447</v>
      </c>
      <c r="G167" s="450"/>
      <c r="H167" s="358"/>
    </row>
    <row r="168">
      <c r="A168" s="219"/>
      <c r="B168" s="220"/>
      <c r="C168" s="275" t="s">
        <v>1053</v>
      </c>
      <c r="D168" s="197" t="s">
        <v>476</v>
      </c>
      <c r="E168" s="451">
        <v>70000.0</v>
      </c>
      <c r="F168" s="200" t="s">
        <v>1447</v>
      </c>
      <c r="G168" s="452"/>
      <c r="H168" s="365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</row>
    <row r="169">
      <c r="A169" s="206"/>
      <c r="B169" s="195"/>
      <c r="C169" s="71" t="s">
        <v>1579</v>
      </c>
      <c r="D169" s="197" t="s">
        <v>476</v>
      </c>
      <c r="E169" s="419">
        <v>80000.0</v>
      </c>
      <c r="F169" s="200" t="s">
        <v>1447</v>
      </c>
      <c r="G169" s="357"/>
      <c r="H169" s="358"/>
    </row>
    <row r="170">
      <c r="A170" s="206"/>
      <c r="B170" s="195"/>
      <c r="C170" s="71" t="s">
        <v>1584</v>
      </c>
      <c r="D170" s="197"/>
      <c r="E170" s="419">
        <v>400000.0</v>
      </c>
      <c r="F170" s="200" t="s">
        <v>1447</v>
      </c>
      <c r="G170" s="357"/>
      <c r="H170" s="358"/>
    </row>
    <row r="171">
      <c r="A171" s="206"/>
      <c r="B171" s="195"/>
      <c r="C171" s="71" t="s">
        <v>1588</v>
      </c>
      <c r="D171" s="197"/>
      <c r="E171" s="419">
        <v>60000.0</v>
      </c>
      <c r="F171" s="200" t="s">
        <v>1447</v>
      </c>
      <c r="G171" s="357"/>
      <c r="H171" s="358"/>
    </row>
    <row r="172">
      <c r="A172" s="219"/>
      <c r="B172" s="273"/>
      <c r="C172" s="275" t="s">
        <v>1592</v>
      </c>
      <c r="D172" s="225"/>
      <c r="E172" s="451">
        <v>50000.0</v>
      </c>
      <c r="F172" s="200" t="s">
        <v>1447</v>
      </c>
      <c r="G172" s="452"/>
      <c r="H172" s="365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</row>
    <row r="173">
      <c r="A173" s="206"/>
      <c r="B173" s="360">
        <v>46016.0</v>
      </c>
      <c r="C173" s="459" t="s">
        <v>1596</v>
      </c>
      <c r="D173" s="197"/>
      <c r="E173" s="419">
        <v>600000.0</v>
      </c>
      <c r="F173" s="268" t="s">
        <v>1598</v>
      </c>
      <c r="G173" s="368" t="s">
        <v>1600</v>
      </c>
      <c r="H173" s="358"/>
    </row>
    <row r="174">
      <c r="A174" s="219"/>
      <c r="B174" s="360">
        <v>46018.0</v>
      </c>
      <c r="C174" s="275" t="s">
        <v>1602</v>
      </c>
      <c r="D174" s="225"/>
      <c r="E174" s="451">
        <v>50000.0</v>
      </c>
      <c r="F174" s="268" t="s">
        <v>1598</v>
      </c>
      <c r="G174" s="364"/>
      <c r="H174" s="365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</row>
    <row r="175">
      <c r="A175" s="206"/>
      <c r="B175" s="360">
        <v>45991.0</v>
      </c>
      <c r="C175" s="205" t="s">
        <v>1270</v>
      </c>
      <c r="D175" s="197"/>
      <c r="E175" s="203">
        <v>400000.0</v>
      </c>
      <c r="F175" s="200"/>
      <c r="G175" s="357"/>
      <c r="H175" s="358"/>
    </row>
    <row r="176">
      <c r="A176" s="245"/>
      <c r="B176" s="380"/>
      <c r="C176" s="247"/>
      <c r="D176" s="248"/>
      <c r="E176" s="249"/>
      <c r="F176" s="251"/>
      <c r="G176" s="381"/>
      <c r="H176" s="382"/>
      <c r="I176" s="254"/>
      <c r="J176" s="254"/>
      <c r="K176" s="254"/>
      <c r="L176" s="254"/>
      <c r="M176" s="254"/>
      <c r="N176" s="254"/>
      <c r="O176" s="254"/>
      <c r="P176" s="254"/>
      <c r="Q176" s="254"/>
      <c r="R176" s="254"/>
      <c r="S176" s="254"/>
      <c r="T176" s="254"/>
      <c r="U176" s="254"/>
      <c r="V176" s="254"/>
      <c r="W176" s="254"/>
      <c r="X176" s="254"/>
      <c r="Y176" s="254"/>
      <c r="Z176" s="254"/>
      <c r="AA176" s="254"/>
      <c r="AB176" s="254"/>
      <c r="AC176" s="254"/>
      <c r="AD176" s="254"/>
      <c r="AE176" s="254"/>
      <c r="AF176" s="254"/>
      <c r="AG176" s="254"/>
      <c r="AH176" s="254"/>
      <c r="AI176" s="254"/>
      <c r="AJ176" s="254"/>
      <c r="AK176" s="254"/>
      <c r="AL176" s="254"/>
      <c r="AM176" s="254"/>
      <c r="AN176" s="254"/>
      <c r="AO176" s="254"/>
      <c r="AP176" s="254"/>
      <c r="AQ176" s="254"/>
      <c r="AR176" s="254"/>
      <c r="AS176" s="254"/>
      <c r="AT176" s="254"/>
    </row>
    <row r="177">
      <c r="A177" s="461"/>
      <c r="B177" s="462">
        <v>46028.0</v>
      </c>
      <c r="C177" s="275" t="s">
        <v>1162</v>
      </c>
      <c r="D177" s="317" t="s">
        <v>1615</v>
      </c>
      <c r="E177" s="463">
        <v>15000.0</v>
      </c>
      <c r="F177" s="268" t="s">
        <v>1299</v>
      </c>
      <c r="G177" s="364"/>
      <c r="H177" s="365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</row>
    <row r="178">
      <c r="A178" s="206"/>
      <c r="B178" s="195"/>
      <c r="C178" s="71" t="s">
        <v>1620</v>
      </c>
      <c r="D178" s="197"/>
      <c r="E178" s="439">
        <v>200000.0</v>
      </c>
      <c r="F178" s="268" t="s">
        <v>1299</v>
      </c>
      <c r="G178" s="357"/>
      <c r="H178" s="358"/>
    </row>
    <row r="179">
      <c r="A179" s="219"/>
      <c r="B179" s="360">
        <v>46028.0</v>
      </c>
      <c r="C179" s="275" t="s">
        <v>1625</v>
      </c>
      <c r="D179" s="317"/>
      <c r="E179" s="463">
        <v>100000.0</v>
      </c>
      <c r="F179" s="200" t="s">
        <v>1447</v>
      </c>
      <c r="G179" s="364"/>
      <c r="H179" s="365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</row>
    <row r="180">
      <c r="A180" s="219"/>
      <c r="B180" s="360">
        <v>46029.0</v>
      </c>
      <c r="C180" s="275" t="s">
        <v>1632</v>
      </c>
      <c r="D180" s="317"/>
      <c r="E180" s="463">
        <v>50000.0</v>
      </c>
      <c r="F180" s="200" t="s">
        <v>1633</v>
      </c>
      <c r="G180" s="364"/>
      <c r="H180" s="365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</row>
    <row r="181">
      <c r="A181" s="219"/>
      <c r="B181" s="360"/>
      <c r="C181" s="275" t="s">
        <v>716</v>
      </c>
      <c r="D181" s="317"/>
      <c r="E181" s="463">
        <v>50000.0</v>
      </c>
      <c r="F181" s="200" t="s">
        <v>1633</v>
      </c>
      <c r="G181" s="364"/>
      <c r="H181" s="365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</row>
    <row r="182">
      <c r="A182" s="219"/>
      <c r="B182" s="360"/>
      <c r="C182" s="275" t="s">
        <v>1638</v>
      </c>
      <c r="D182" s="317"/>
      <c r="E182" s="463">
        <v>200000.0</v>
      </c>
      <c r="F182" s="200" t="s">
        <v>1639</v>
      </c>
      <c r="G182" s="364"/>
      <c r="H182" s="365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</row>
    <row r="183">
      <c r="A183" s="219"/>
      <c r="B183" s="360">
        <v>46029.0</v>
      </c>
      <c r="C183" s="275" t="s">
        <v>1645</v>
      </c>
      <c r="D183" s="317"/>
      <c r="E183" s="463">
        <v>2100000.0</v>
      </c>
      <c r="F183" s="200" t="s">
        <v>1646</v>
      </c>
      <c r="G183" s="401" t="s">
        <v>1647</v>
      </c>
      <c r="H183" s="365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</row>
    <row r="184">
      <c r="A184" s="206"/>
      <c r="B184" s="195"/>
      <c r="C184" s="71" t="s">
        <v>1653</v>
      </c>
      <c r="D184" s="197"/>
      <c r="E184" s="439">
        <v>250000.0</v>
      </c>
      <c r="F184" s="200" t="s">
        <v>1656</v>
      </c>
      <c r="G184" s="368"/>
      <c r="H184" s="358"/>
    </row>
    <row r="185">
      <c r="A185" s="206"/>
      <c r="B185" s="195"/>
      <c r="C185" s="71" t="s">
        <v>1659</v>
      </c>
      <c r="D185" s="197" t="s">
        <v>1661</v>
      </c>
      <c r="E185" s="439">
        <v>150000.0</v>
      </c>
      <c r="F185" s="200" t="s">
        <v>1656</v>
      </c>
      <c r="G185" s="357"/>
      <c r="H185" s="358"/>
    </row>
    <row r="186">
      <c r="A186" s="206"/>
      <c r="B186" s="195"/>
      <c r="C186" s="71" t="s">
        <v>1664</v>
      </c>
      <c r="D186" s="197" t="s">
        <v>1661</v>
      </c>
      <c r="E186" s="439">
        <v>200000.0</v>
      </c>
      <c r="F186" s="200" t="s">
        <v>1656</v>
      </c>
      <c r="G186" s="357"/>
      <c r="H186" s="358"/>
    </row>
    <row r="187">
      <c r="A187" s="206"/>
      <c r="B187" s="195"/>
      <c r="C187" s="71" t="s">
        <v>1659</v>
      </c>
      <c r="D187" s="197" t="s">
        <v>1661</v>
      </c>
      <c r="E187" s="439">
        <v>150000.0</v>
      </c>
      <c r="F187" s="200" t="s">
        <v>1656</v>
      </c>
      <c r="G187" s="368" t="s">
        <v>1667</v>
      </c>
      <c r="H187" s="358"/>
    </row>
    <row r="188">
      <c r="A188" s="206"/>
      <c r="B188" s="195"/>
      <c r="C188" s="71" t="s">
        <v>1668</v>
      </c>
      <c r="D188" s="197" t="s">
        <v>554</v>
      </c>
      <c r="E188" s="439">
        <v>30000.0</v>
      </c>
      <c r="F188" s="200" t="s">
        <v>1656</v>
      </c>
      <c r="G188" s="368"/>
      <c r="H188" s="358"/>
    </row>
    <row r="189">
      <c r="A189" s="326"/>
      <c r="B189" s="351">
        <v>46030.0</v>
      </c>
      <c r="C189" s="372" t="s">
        <v>1669</v>
      </c>
      <c r="D189" s="334" t="s">
        <v>449</v>
      </c>
      <c r="E189" s="477">
        <v>6650000.0</v>
      </c>
      <c r="F189" s="331" t="s">
        <v>1326</v>
      </c>
      <c r="G189" s="371" t="s">
        <v>1671</v>
      </c>
      <c r="H189" s="365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</row>
    <row r="190">
      <c r="A190" s="206"/>
      <c r="B190" s="195"/>
      <c r="C190" s="229" t="s">
        <v>1679</v>
      </c>
      <c r="D190" s="334" t="s">
        <v>449</v>
      </c>
      <c r="E190" s="479">
        <v>1000000.0</v>
      </c>
      <c r="F190" s="331" t="s">
        <v>1681</v>
      </c>
      <c r="G190" s="357"/>
      <c r="H190" s="358"/>
    </row>
    <row r="191">
      <c r="A191" s="206"/>
      <c r="B191" s="351"/>
      <c r="C191" s="71" t="s">
        <v>1683</v>
      </c>
      <c r="E191" s="439">
        <v>35000.0</v>
      </c>
      <c r="F191" s="331" t="s">
        <v>1681</v>
      </c>
      <c r="G191" s="357"/>
      <c r="H191" s="358"/>
    </row>
    <row r="192">
      <c r="A192" s="206"/>
      <c r="B192" s="351"/>
      <c r="C192" s="71" t="s">
        <v>1688</v>
      </c>
      <c r="E192" s="439">
        <v>45000.0</v>
      </c>
      <c r="F192" s="331" t="s">
        <v>1681</v>
      </c>
      <c r="G192" s="357"/>
      <c r="H192" s="358"/>
    </row>
    <row r="193">
      <c r="A193" s="206"/>
      <c r="B193" s="351">
        <v>46030.0</v>
      </c>
      <c r="C193" s="71" t="s">
        <v>1267</v>
      </c>
      <c r="E193" s="439">
        <v>50000.0</v>
      </c>
      <c r="F193" s="200" t="s">
        <v>1524</v>
      </c>
      <c r="G193" s="357"/>
      <c r="H193" s="358"/>
    </row>
    <row r="194">
      <c r="A194" s="206"/>
      <c r="B194" s="351">
        <v>46031.0</v>
      </c>
      <c r="C194" s="71" t="s">
        <v>684</v>
      </c>
      <c r="D194" s="197" t="s">
        <v>1689</v>
      </c>
      <c r="E194" s="439">
        <v>35000.0</v>
      </c>
      <c r="F194" s="268" t="s">
        <v>582</v>
      </c>
      <c r="G194" s="357"/>
      <c r="H194" s="358"/>
    </row>
    <row r="195">
      <c r="A195" s="442"/>
      <c r="B195" s="351">
        <v>46031.0</v>
      </c>
      <c r="C195" s="483" t="s">
        <v>1691</v>
      </c>
      <c r="D195" s="443" t="s">
        <v>541</v>
      </c>
      <c r="E195" s="484">
        <v>2400000.0</v>
      </c>
      <c r="F195" s="268" t="s">
        <v>1692</v>
      </c>
      <c r="G195" s="485" t="s">
        <v>1693</v>
      </c>
      <c r="H195" s="358"/>
    </row>
    <row r="196">
      <c r="A196" s="219"/>
      <c r="B196" s="273">
        <v>46035.0</v>
      </c>
      <c r="C196" s="342" t="s">
        <v>1548</v>
      </c>
      <c r="D196" s="225"/>
      <c r="E196" s="486">
        <v>122100.0</v>
      </c>
      <c r="F196" s="225"/>
      <c r="G196" s="487"/>
      <c r="H196" s="48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</row>
    <row r="197">
      <c r="A197" s="206"/>
      <c r="B197" s="273">
        <v>46035.0</v>
      </c>
      <c r="C197" s="205" t="s">
        <v>1550</v>
      </c>
      <c r="D197" s="197"/>
      <c r="E197" s="439">
        <v>166500.0</v>
      </c>
      <c r="F197" s="203"/>
      <c r="G197" s="489"/>
      <c r="H197" s="358"/>
    </row>
    <row r="198">
      <c r="A198" s="206"/>
      <c r="B198" s="273">
        <v>46036.0</v>
      </c>
      <c r="C198" s="71" t="s">
        <v>1706</v>
      </c>
      <c r="D198" s="197"/>
      <c r="E198" s="439">
        <v>185000.0</v>
      </c>
      <c r="F198" s="200" t="s">
        <v>1708</v>
      </c>
      <c r="G198" s="416" t="s">
        <v>1709</v>
      </c>
      <c r="H198" s="358"/>
    </row>
    <row r="199">
      <c r="A199" s="206"/>
      <c r="B199" s="195"/>
      <c r="C199" s="283" t="s">
        <v>1711</v>
      </c>
      <c r="D199" s="197"/>
      <c r="E199" s="439">
        <v>100000.0</v>
      </c>
      <c r="F199" s="200"/>
      <c r="G199" s="357"/>
      <c r="H199" s="358"/>
    </row>
    <row r="200">
      <c r="A200" s="206"/>
      <c r="B200" s="409">
        <v>46036.0</v>
      </c>
      <c r="C200" s="229" t="s">
        <v>1714</v>
      </c>
      <c r="D200" s="197" t="s">
        <v>449</v>
      </c>
      <c r="E200" s="479">
        <v>1300000.0</v>
      </c>
      <c r="F200" s="200" t="s">
        <v>525</v>
      </c>
      <c r="G200" s="368" t="s">
        <v>1716</v>
      </c>
      <c r="H200" s="358"/>
    </row>
    <row r="201">
      <c r="A201" s="206"/>
      <c r="B201" s="273">
        <v>46041.0</v>
      </c>
      <c r="C201" s="216" t="s">
        <v>1720</v>
      </c>
      <c r="D201" s="197"/>
      <c r="E201" s="439">
        <v>140000.0</v>
      </c>
      <c r="F201" s="200" t="s">
        <v>1722</v>
      </c>
      <c r="G201" s="368"/>
      <c r="H201" s="358"/>
    </row>
    <row r="202">
      <c r="A202" s="206"/>
      <c r="B202" s="273">
        <v>46043.0</v>
      </c>
      <c r="C202" s="310" t="s">
        <v>1726</v>
      </c>
      <c r="D202" s="197" t="s">
        <v>1728</v>
      </c>
      <c r="E202" s="439">
        <v>900000.0</v>
      </c>
      <c r="F202" s="200" t="s">
        <v>1598</v>
      </c>
      <c r="G202" s="368"/>
      <c r="H202" s="358"/>
    </row>
    <row r="203">
      <c r="A203" s="206"/>
      <c r="B203" s="273">
        <v>46047.0</v>
      </c>
      <c r="C203" s="71" t="s">
        <v>1731</v>
      </c>
      <c r="D203" s="197"/>
      <c r="E203" s="439">
        <v>100000.0</v>
      </c>
      <c r="F203" s="200" t="s">
        <v>606</v>
      </c>
      <c r="G203" s="368"/>
      <c r="H203" s="358"/>
    </row>
    <row r="204">
      <c r="A204" s="206"/>
      <c r="B204" s="273">
        <v>46047.0</v>
      </c>
      <c r="C204" s="71" t="s">
        <v>1734</v>
      </c>
      <c r="D204" s="197" t="s">
        <v>1735</v>
      </c>
      <c r="E204" s="439">
        <v>600000.0</v>
      </c>
      <c r="F204" s="200" t="s">
        <v>1447</v>
      </c>
      <c r="G204" s="416" t="s">
        <v>1736</v>
      </c>
      <c r="H204" s="358"/>
    </row>
    <row r="205">
      <c r="A205" s="206"/>
      <c r="B205" s="195"/>
      <c r="C205" s="71" t="s">
        <v>1737</v>
      </c>
      <c r="D205" s="197" t="s">
        <v>1357</v>
      </c>
      <c r="E205" s="439">
        <v>50000.0</v>
      </c>
      <c r="F205" s="200" t="s">
        <v>1447</v>
      </c>
      <c r="G205" s="368" t="s">
        <v>1738</v>
      </c>
      <c r="H205" s="358"/>
    </row>
    <row r="206">
      <c r="A206" s="206"/>
      <c r="B206" s="195"/>
      <c r="C206" s="71" t="s">
        <v>1740</v>
      </c>
      <c r="D206" s="197" t="s">
        <v>964</v>
      </c>
      <c r="E206" s="439">
        <v>12000.0</v>
      </c>
      <c r="F206" s="200" t="s">
        <v>1447</v>
      </c>
      <c r="G206" s="368"/>
      <c r="H206" s="358"/>
    </row>
    <row r="207">
      <c r="A207" s="206"/>
      <c r="B207" s="195"/>
      <c r="C207" s="71" t="s">
        <v>1741</v>
      </c>
      <c r="D207" s="197"/>
      <c r="E207" s="439">
        <v>50000.0</v>
      </c>
      <c r="F207" s="200" t="s">
        <v>1447</v>
      </c>
      <c r="G207" s="368"/>
      <c r="H207" s="358"/>
    </row>
    <row r="208">
      <c r="A208" s="206"/>
      <c r="B208" s="195"/>
      <c r="C208" s="71" t="s">
        <v>1742</v>
      </c>
      <c r="D208" s="197" t="s">
        <v>476</v>
      </c>
      <c r="E208" s="439">
        <v>150000.0</v>
      </c>
      <c r="F208" s="200" t="s">
        <v>1447</v>
      </c>
      <c r="G208" s="368"/>
      <c r="H208" s="358"/>
    </row>
    <row r="209">
      <c r="A209" s="206"/>
      <c r="B209" s="195"/>
      <c r="C209" s="71" t="s">
        <v>1746</v>
      </c>
      <c r="D209" s="197"/>
      <c r="E209" s="439">
        <v>145000.0</v>
      </c>
      <c r="F209" s="200" t="s">
        <v>1447</v>
      </c>
      <c r="G209" s="368"/>
      <c r="H209" s="358"/>
    </row>
    <row r="210">
      <c r="A210" s="206"/>
      <c r="B210" s="195"/>
      <c r="C210" s="283" t="s">
        <v>1658</v>
      </c>
      <c r="D210" s="197" t="s">
        <v>1089</v>
      </c>
      <c r="E210" s="439">
        <v>0.0</v>
      </c>
      <c r="F210" s="200" t="s">
        <v>1447</v>
      </c>
      <c r="G210" s="416" t="s">
        <v>1748</v>
      </c>
      <c r="H210" s="358"/>
    </row>
    <row r="211">
      <c r="A211" s="206"/>
      <c r="B211" s="195"/>
      <c r="C211" s="71"/>
      <c r="D211" s="197"/>
      <c r="E211" s="439"/>
      <c r="F211" s="200"/>
      <c r="G211" s="368"/>
      <c r="H211" s="358"/>
    </row>
    <row r="212">
      <c r="A212" s="206"/>
      <c r="B212" s="299">
        <v>46053.0</v>
      </c>
      <c r="C212" s="217" t="s">
        <v>1241</v>
      </c>
      <c r="D212" s="197"/>
      <c r="E212" s="198">
        <v>150000.0</v>
      </c>
      <c r="F212" s="300" t="s">
        <v>1086</v>
      </c>
      <c r="G212" s="355" t="s">
        <v>1087</v>
      </c>
      <c r="H212" s="356"/>
    </row>
    <row r="213">
      <c r="A213" s="206"/>
      <c r="B213" s="360">
        <v>45991.0</v>
      </c>
      <c r="C213" s="205" t="s">
        <v>1432</v>
      </c>
      <c r="D213" s="197"/>
      <c r="E213" s="203">
        <v>400000.0</v>
      </c>
      <c r="F213" s="200"/>
      <c r="G213" s="357"/>
      <c r="H213" s="358"/>
    </row>
    <row r="214">
      <c r="A214" s="245"/>
      <c r="B214" s="380"/>
      <c r="C214" s="247"/>
      <c r="D214" s="248"/>
      <c r="E214" s="249"/>
      <c r="F214" s="251"/>
      <c r="G214" s="381"/>
      <c r="H214" s="382"/>
      <c r="I214" s="254"/>
      <c r="J214" s="254"/>
      <c r="K214" s="254"/>
      <c r="L214" s="254"/>
      <c r="M214" s="254"/>
      <c r="N214" s="254"/>
      <c r="O214" s="254"/>
      <c r="P214" s="254"/>
      <c r="Q214" s="254"/>
      <c r="R214" s="254"/>
      <c r="S214" s="254"/>
      <c r="T214" s="254"/>
      <c r="U214" s="254"/>
      <c r="V214" s="254"/>
      <c r="W214" s="254"/>
      <c r="X214" s="254"/>
      <c r="Y214" s="254"/>
      <c r="Z214" s="254"/>
      <c r="AA214" s="254"/>
      <c r="AB214" s="254"/>
      <c r="AC214" s="254"/>
      <c r="AD214" s="254"/>
      <c r="AE214" s="254"/>
      <c r="AF214" s="254"/>
      <c r="AG214" s="254"/>
      <c r="AH214" s="254"/>
      <c r="AI214" s="254"/>
      <c r="AJ214" s="254"/>
      <c r="AK214" s="254"/>
      <c r="AL214" s="254"/>
      <c r="AM214" s="254"/>
      <c r="AN214" s="254"/>
      <c r="AO214" s="254"/>
      <c r="AP214" s="254"/>
      <c r="AQ214" s="254"/>
      <c r="AR214" s="254"/>
      <c r="AS214" s="254"/>
      <c r="AT214" s="254"/>
    </row>
    <row r="215">
      <c r="A215" s="493"/>
      <c r="B215" s="494">
        <v>46056.0</v>
      </c>
      <c r="C215" s="71" t="s">
        <v>1758</v>
      </c>
      <c r="D215" s="197" t="s">
        <v>449</v>
      </c>
      <c r="E215" s="495">
        <v>500000.0</v>
      </c>
      <c r="F215" s="200" t="s">
        <v>1447</v>
      </c>
      <c r="G215" s="357"/>
      <c r="H215" s="358"/>
    </row>
    <row r="216">
      <c r="A216" s="206"/>
      <c r="B216" s="195"/>
      <c r="C216" s="71" t="s">
        <v>1760</v>
      </c>
      <c r="D216" s="197" t="s">
        <v>476</v>
      </c>
      <c r="E216" s="495">
        <v>215000.0</v>
      </c>
      <c r="F216" s="200" t="s">
        <v>1447</v>
      </c>
      <c r="G216" s="357"/>
      <c r="H216" s="358"/>
    </row>
    <row r="217">
      <c r="A217" s="206"/>
      <c r="B217" s="195"/>
      <c r="C217" s="71" t="s">
        <v>1763</v>
      </c>
      <c r="D217" s="197" t="s">
        <v>482</v>
      </c>
      <c r="E217" s="495">
        <v>140000.0</v>
      </c>
      <c r="F217" s="200" t="s">
        <v>1447</v>
      </c>
      <c r="G217" s="357"/>
      <c r="H217" s="358"/>
    </row>
    <row r="218">
      <c r="A218" s="206"/>
      <c r="B218" s="195"/>
      <c r="C218" s="71" t="s">
        <v>1764</v>
      </c>
      <c r="D218" s="197" t="s">
        <v>449</v>
      </c>
      <c r="E218" s="495">
        <v>40000.0</v>
      </c>
      <c r="F218" s="200" t="s">
        <v>1447</v>
      </c>
      <c r="G218" s="357"/>
      <c r="H218" s="358"/>
    </row>
    <row r="219">
      <c r="A219" s="206"/>
      <c r="B219" s="195"/>
      <c r="C219" s="71" t="s">
        <v>824</v>
      </c>
      <c r="D219" s="197" t="s">
        <v>449</v>
      </c>
      <c r="E219" s="495">
        <v>140000.0</v>
      </c>
      <c r="F219" s="200" t="s">
        <v>1447</v>
      </c>
      <c r="G219" s="368"/>
      <c r="H219" s="358"/>
    </row>
    <row r="220">
      <c r="A220" s="206"/>
      <c r="B220" s="195"/>
      <c r="C220" s="71" t="s">
        <v>1559</v>
      </c>
      <c r="D220" s="197" t="s">
        <v>476</v>
      </c>
      <c r="E220" s="495">
        <v>70000.0</v>
      </c>
      <c r="F220" s="200" t="s">
        <v>1447</v>
      </c>
      <c r="G220" s="368"/>
      <c r="H220" s="358"/>
    </row>
    <row r="221">
      <c r="A221" s="206"/>
      <c r="B221" s="195"/>
      <c r="C221" s="71" t="s">
        <v>1771</v>
      </c>
      <c r="D221" s="197" t="s">
        <v>449</v>
      </c>
      <c r="E221" s="495">
        <v>200000.0</v>
      </c>
      <c r="F221" s="200" t="s">
        <v>1447</v>
      </c>
      <c r="G221" s="357"/>
      <c r="H221" s="358"/>
    </row>
    <row r="222">
      <c r="A222" s="206"/>
      <c r="B222" s="195"/>
      <c r="C222" s="71" t="s">
        <v>1775</v>
      </c>
      <c r="D222" s="197"/>
      <c r="E222" s="495">
        <v>200000.0</v>
      </c>
      <c r="F222" s="200" t="s">
        <v>1447</v>
      </c>
      <c r="G222" s="357"/>
      <c r="H222" s="358"/>
    </row>
    <row r="223">
      <c r="A223" s="206"/>
      <c r="B223" s="195"/>
      <c r="C223" s="71" t="s">
        <v>1777</v>
      </c>
      <c r="D223" s="197" t="s">
        <v>476</v>
      </c>
      <c r="E223" s="495">
        <v>250000.0</v>
      </c>
      <c r="F223" s="200" t="s">
        <v>1447</v>
      </c>
      <c r="G223" s="357"/>
      <c r="H223" s="358"/>
    </row>
    <row r="224">
      <c r="A224" s="206"/>
      <c r="B224" s="195"/>
      <c r="C224" s="71" t="s">
        <v>1780</v>
      </c>
      <c r="D224" s="197" t="s">
        <v>449</v>
      </c>
      <c r="E224" s="495">
        <v>200000.0</v>
      </c>
      <c r="F224" s="200" t="s">
        <v>1447</v>
      </c>
      <c r="G224" s="357"/>
      <c r="H224" s="358"/>
    </row>
    <row r="225">
      <c r="A225" s="206"/>
      <c r="B225" s="195"/>
      <c r="C225" s="71" t="s">
        <v>1783</v>
      </c>
      <c r="D225" s="197"/>
      <c r="E225" s="495">
        <v>70000.0</v>
      </c>
      <c r="F225" s="200" t="s">
        <v>1447</v>
      </c>
      <c r="G225" s="357"/>
      <c r="H225" s="358"/>
    </row>
    <row r="226">
      <c r="A226" s="206"/>
      <c r="B226" s="195"/>
      <c r="C226" s="71" t="s">
        <v>1784</v>
      </c>
      <c r="D226" s="197"/>
      <c r="E226" s="495">
        <v>50000.0</v>
      </c>
      <c r="F226" s="200" t="s">
        <v>1447</v>
      </c>
      <c r="G226" s="357"/>
      <c r="H226" s="358"/>
    </row>
    <row r="227">
      <c r="A227" s="206"/>
      <c r="B227" s="195"/>
      <c r="C227" s="71"/>
      <c r="D227" s="197"/>
      <c r="E227" s="495"/>
      <c r="F227" s="200"/>
      <c r="G227" s="357"/>
      <c r="H227" s="358"/>
    </row>
    <row r="228">
      <c r="A228" s="347"/>
      <c r="B228" s="498">
        <v>46059.0</v>
      </c>
      <c r="C228" s="499" t="s">
        <v>1787</v>
      </c>
      <c r="D228" s="500" t="s">
        <v>1788</v>
      </c>
      <c r="E228" s="501">
        <v>200000.0</v>
      </c>
      <c r="F228" s="331" t="s">
        <v>1598</v>
      </c>
      <c r="G228" s="503" t="s">
        <v>1790</v>
      </c>
      <c r="H228" s="365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</row>
    <row r="229">
      <c r="A229" s="206"/>
      <c r="B229" s="498">
        <v>46065.0</v>
      </c>
      <c r="C229" s="286" t="s">
        <v>1799</v>
      </c>
      <c r="D229" s="197"/>
      <c r="E229" s="495">
        <v>250000.0</v>
      </c>
      <c r="F229" s="200" t="s">
        <v>1801</v>
      </c>
      <c r="G229" s="357"/>
      <c r="H229" s="358"/>
    </row>
    <row r="230">
      <c r="A230" s="206"/>
      <c r="B230" s="498">
        <v>46065.0</v>
      </c>
      <c r="C230" s="71" t="s">
        <v>1803</v>
      </c>
      <c r="D230" s="197"/>
      <c r="E230" s="495">
        <v>50000.0</v>
      </c>
      <c r="F230" s="200" t="s">
        <v>606</v>
      </c>
      <c r="G230" s="357"/>
      <c r="H230" s="358"/>
    </row>
    <row r="231">
      <c r="A231" s="206"/>
      <c r="B231" s="498">
        <v>46066.0</v>
      </c>
      <c r="C231" s="200" t="s">
        <v>1804</v>
      </c>
      <c r="D231" s="197"/>
      <c r="E231" s="495">
        <v>100000.0</v>
      </c>
      <c r="F231" s="331" t="s">
        <v>1807</v>
      </c>
      <c r="G231" s="368"/>
      <c r="H231" s="358"/>
    </row>
    <row r="232">
      <c r="A232" s="219"/>
      <c r="B232" s="273">
        <v>46066.0</v>
      </c>
      <c r="C232" s="342" t="s">
        <v>1595</v>
      </c>
      <c r="D232" s="225"/>
      <c r="E232" s="504">
        <v>122100.0</v>
      </c>
      <c r="F232" s="225"/>
      <c r="G232" s="487"/>
      <c r="H232" s="48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</row>
    <row r="233">
      <c r="A233" s="206"/>
      <c r="B233" s="273">
        <v>46066.0</v>
      </c>
      <c r="C233" s="205" t="s">
        <v>1604</v>
      </c>
      <c r="D233" s="197"/>
      <c r="E233" s="495">
        <v>166500.0</v>
      </c>
      <c r="F233" s="203"/>
      <c r="G233" s="489"/>
      <c r="H233" s="358"/>
    </row>
    <row r="234">
      <c r="A234" s="206"/>
      <c r="B234" s="195"/>
      <c r="C234" s="71"/>
      <c r="D234" s="197"/>
      <c r="E234" s="495"/>
      <c r="F234" s="200"/>
      <c r="G234" s="368"/>
      <c r="H234" s="358"/>
    </row>
    <row r="235">
      <c r="A235" s="206"/>
      <c r="B235" s="195"/>
      <c r="C235" s="71"/>
      <c r="D235" s="197"/>
      <c r="E235" s="495"/>
      <c r="F235" s="200"/>
      <c r="G235" s="368"/>
      <c r="H235" s="358"/>
    </row>
    <row r="236">
      <c r="A236" s="206"/>
      <c r="B236" s="195"/>
      <c r="C236" s="71"/>
      <c r="D236" s="197"/>
      <c r="E236" s="495"/>
      <c r="F236" s="200"/>
      <c r="G236" s="368"/>
      <c r="H236" s="358"/>
    </row>
    <row r="237">
      <c r="A237" s="206"/>
      <c r="B237" s="195"/>
      <c r="C237" s="71"/>
      <c r="D237" s="197"/>
      <c r="E237" s="495"/>
      <c r="F237" s="200"/>
      <c r="G237" s="368"/>
      <c r="H237" s="358"/>
    </row>
    <row r="238">
      <c r="A238" s="206"/>
      <c r="B238" s="195"/>
      <c r="C238" s="71"/>
      <c r="D238" s="197"/>
      <c r="E238" s="495"/>
      <c r="F238" s="200"/>
      <c r="G238" s="208"/>
    </row>
    <row r="239">
      <c r="A239" s="206"/>
      <c r="B239" s="195"/>
      <c r="C239" s="71"/>
      <c r="D239" s="197"/>
      <c r="E239" s="495"/>
      <c r="F239" s="204"/>
      <c r="G239" s="92"/>
    </row>
    <row r="240">
      <c r="A240" s="206"/>
      <c r="B240" s="195"/>
      <c r="C240" s="71"/>
      <c r="D240" s="197"/>
      <c r="E240" s="495"/>
      <c r="F240" s="204"/>
      <c r="G240" s="92"/>
    </row>
    <row r="241">
      <c r="A241" s="206"/>
      <c r="B241" s="195"/>
      <c r="C241" s="71"/>
      <c r="D241" s="197"/>
      <c r="E241" s="495"/>
      <c r="F241" s="204"/>
      <c r="G241" s="92"/>
    </row>
    <row r="242">
      <c r="A242" s="206"/>
      <c r="B242" s="195"/>
      <c r="C242" s="71"/>
      <c r="D242" s="197"/>
      <c r="E242" s="495"/>
      <c r="F242" s="204"/>
      <c r="G242" s="92"/>
    </row>
    <row r="243">
      <c r="A243" s="206"/>
      <c r="B243" s="498">
        <v>46074.0</v>
      </c>
      <c r="C243" s="71" t="s">
        <v>1828</v>
      </c>
      <c r="D243" s="197"/>
      <c r="E243" s="495">
        <v>250000.0</v>
      </c>
      <c r="F243" s="200" t="s">
        <v>1830</v>
      </c>
      <c r="G243" s="208" t="s">
        <v>1831</v>
      </c>
    </row>
    <row r="244">
      <c r="A244" s="206"/>
      <c r="B244" s="195"/>
      <c r="C244" s="71" t="s">
        <v>1834</v>
      </c>
      <c r="D244" s="197" t="s">
        <v>476</v>
      </c>
      <c r="E244" s="495">
        <v>100000.0</v>
      </c>
      <c r="F244" s="200" t="s">
        <v>1830</v>
      </c>
      <c r="G244" s="92"/>
    </row>
    <row r="245">
      <c r="A245" s="206"/>
      <c r="B245" s="498">
        <v>46076.0</v>
      </c>
      <c r="C245" s="459" t="s">
        <v>1835</v>
      </c>
      <c r="D245" s="197" t="s">
        <v>1089</v>
      </c>
      <c r="E245" s="495">
        <v>3400000.0</v>
      </c>
      <c r="F245" s="200" t="s">
        <v>1326</v>
      </c>
      <c r="G245" s="496" t="s">
        <v>1837</v>
      </c>
    </row>
    <row r="246">
      <c r="A246" s="206"/>
      <c r="B246" s="498">
        <v>46076.0</v>
      </c>
      <c r="C246" s="71" t="s">
        <v>1839</v>
      </c>
      <c r="D246" s="197" t="s">
        <v>476</v>
      </c>
      <c r="E246" s="495">
        <v>40000.0</v>
      </c>
      <c r="F246" s="200" t="s">
        <v>1841</v>
      </c>
      <c r="G246" s="92"/>
    </row>
    <row r="247">
      <c r="A247" s="206"/>
      <c r="B247" s="195"/>
      <c r="C247" s="71" t="s">
        <v>1842</v>
      </c>
      <c r="D247" s="197" t="s">
        <v>476</v>
      </c>
      <c r="E247" s="495">
        <v>15000.0</v>
      </c>
      <c r="F247" s="200" t="s">
        <v>1841</v>
      </c>
      <c r="G247" s="92"/>
    </row>
    <row r="248">
      <c r="A248" s="206"/>
      <c r="B248" s="195"/>
      <c r="C248" s="71" t="s">
        <v>1039</v>
      </c>
      <c r="D248" s="197" t="s">
        <v>476</v>
      </c>
      <c r="E248" s="495">
        <v>15000.0</v>
      </c>
      <c r="F248" s="200" t="s">
        <v>1841</v>
      </c>
      <c r="G248" s="92"/>
    </row>
    <row r="249">
      <c r="A249" s="206"/>
      <c r="B249" s="498">
        <v>46080.0</v>
      </c>
      <c r="C249" s="71" t="s">
        <v>1267</v>
      </c>
      <c r="D249" s="197"/>
      <c r="E249" s="203">
        <v>60000.0</v>
      </c>
      <c r="F249" s="200" t="s">
        <v>1847</v>
      </c>
      <c r="G249" s="92"/>
    </row>
    <row r="250">
      <c r="A250" s="206"/>
      <c r="B250" s="498">
        <v>46081.0</v>
      </c>
      <c r="C250" s="283" t="s">
        <v>1848</v>
      </c>
      <c r="D250" s="197"/>
      <c r="E250" s="203">
        <v>0.0</v>
      </c>
      <c r="F250" s="200" t="s">
        <v>1849</v>
      </c>
      <c r="G250" s="505" t="s">
        <v>1850</v>
      </c>
    </row>
    <row r="251">
      <c r="A251" s="206"/>
      <c r="B251" s="299">
        <v>46081.0</v>
      </c>
      <c r="C251" s="217" t="s">
        <v>1241</v>
      </c>
      <c r="D251" s="197"/>
      <c r="E251" s="198">
        <v>150000.0</v>
      </c>
      <c r="F251" s="300" t="s">
        <v>1086</v>
      </c>
      <c r="G251" s="237" t="s">
        <v>1851</v>
      </c>
      <c r="H251" s="69"/>
    </row>
    <row r="252">
      <c r="A252" s="206"/>
      <c r="B252" s="360">
        <v>45991.0</v>
      </c>
      <c r="C252" s="205" t="s">
        <v>1528</v>
      </c>
      <c r="D252" s="197"/>
      <c r="E252" s="203">
        <v>400000.0</v>
      </c>
      <c r="F252" s="200"/>
      <c r="G252" s="357"/>
      <c r="H252" s="358"/>
    </row>
    <row r="253">
      <c r="A253" s="245"/>
      <c r="B253" s="246"/>
      <c r="C253" s="247"/>
      <c r="D253" s="248"/>
      <c r="E253" s="249"/>
      <c r="F253" s="251"/>
      <c r="G253" s="252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54"/>
      <c r="X253" s="254"/>
      <c r="Y253" s="254"/>
      <c r="Z253" s="254"/>
      <c r="AA253" s="254"/>
      <c r="AB253" s="254"/>
      <c r="AC253" s="254"/>
      <c r="AD253" s="254"/>
      <c r="AE253" s="254"/>
      <c r="AF253" s="254"/>
      <c r="AG253" s="254"/>
      <c r="AH253" s="254"/>
      <c r="AI253" s="254"/>
      <c r="AJ253" s="254"/>
      <c r="AK253" s="254"/>
      <c r="AL253" s="254"/>
      <c r="AM253" s="254"/>
      <c r="AN253" s="254"/>
      <c r="AO253" s="254"/>
      <c r="AP253" s="254"/>
      <c r="AQ253" s="254"/>
      <c r="AR253" s="254"/>
      <c r="AS253" s="254"/>
      <c r="AT253" s="254"/>
    </row>
    <row r="254">
      <c r="A254" s="506"/>
      <c r="B254" s="507">
        <v>46082.0</v>
      </c>
      <c r="C254" s="71" t="s">
        <v>1642</v>
      </c>
      <c r="D254" s="197" t="s">
        <v>1011</v>
      </c>
      <c r="E254" s="508">
        <v>600000.0</v>
      </c>
      <c r="F254" s="200" t="s">
        <v>582</v>
      </c>
      <c r="G254" s="208" t="s">
        <v>1643</v>
      </c>
    </row>
    <row r="255">
      <c r="A255" s="206"/>
      <c r="B255" s="498">
        <v>46084.0</v>
      </c>
      <c r="C255" s="71" t="s">
        <v>1854</v>
      </c>
      <c r="D255" s="197" t="s">
        <v>1011</v>
      </c>
      <c r="E255" s="508">
        <v>180000.0</v>
      </c>
      <c r="F255" s="200" t="s">
        <v>1856</v>
      </c>
      <c r="G255" s="92"/>
    </row>
    <row r="256">
      <c r="A256" s="206"/>
      <c r="B256" s="273">
        <v>46088.0</v>
      </c>
      <c r="C256" s="71" t="s">
        <v>1857</v>
      </c>
      <c r="D256" s="197"/>
      <c r="E256" s="508">
        <v>25000.0</v>
      </c>
      <c r="F256" s="200" t="s">
        <v>1700</v>
      </c>
      <c r="G256" s="208"/>
    </row>
    <row r="257">
      <c r="A257" s="206"/>
      <c r="B257" s="195"/>
      <c r="C257" s="71" t="s">
        <v>1858</v>
      </c>
      <c r="D257" s="197"/>
      <c r="E257" s="508">
        <v>25000.0</v>
      </c>
      <c r="F257" s="200" t="s">
        <v>1700</v>
      </c>
      <c r="G257" s="208"/>
    </row>
    <row r="258">
      <c r="A258" s="206"/>
      <c r="B258" s="195"/>
      <c r="C258" s="71" t="s">
        <v>943</v>
      </c>
      <c r="D258" s="197"/>
      <c r="E258" s="508">
        <v>10000.0</v>
      </c>
      <c r="F258" s="200" t="s">
        <v>1700</v>
      </c>
      <c r="G258" s="208"/>
    </row>
    <row r="259">
      <c r="A259" s="206"/>
      <c r="B259" s="195"/>
      <c r="C259" s="71" t="s">
        <v>1862</v>
      </c>
      <c r="D259" s="197"/>
      <c r="E259" s="508">
        <v>30000.0</v>
      </c>
      <c r="F259" s="200" t="s">
        <v>1700</v>
      </c>
      <c r="G259" s="208"/>
    </row>
    <row r="260">
      <c r="A260" s="219"/>
      <c r="B260" s="273">
        <v>46089.0</v>
      </c>
      <c r="C260" s="342" t="s">
        <v>1666</v>
      </c>
      <c r="D260" s="225"/>
      <c r="E260" s="509">
        <v>122100.0</v>
      </c>
      <c r="F260" s="510"/>
      <c r="G260" s="511"/>
      <c r="H260" s="48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</row>
    <row r="261">
      <c r="A261" s="206"/>
      <c r="B261" s="273">
        <v>46089.0</v>
      </c>
      <c r="C261" s="205" t="s">
        <v>1670</v>
      </c>
      <c r="D261" s="197"/>
      <c r="E261" s="508">
        <v>166500.0</v>
      </c>
      <c r="F261" s="203"/>
      <c r="G261" s="204"/>
      <c r="H261" s="358"/>
    </row>
    <row r="262">
      <c r="A262" s="206"/>
      <c r="B262" s="273">
        <v>46091.0</v>
      </c>
      <c r="C262" s="283" t="s">
        <v>1658</v>
      </c>
      <c r="D262" s="197"/>
      <c r="E262" s="508">
        <v>0.0</v>
      </c>
      <c r="F262" s="200" t="s">
        <v>1447</v>
      </c>
      <c r="G262" s="512" t="s">
        <v>1867</v>
      </c>
    </row>
    <row r="263">
      <c r="A263" s="206"/>
      <c r="B263" s="273">
        <v>46091.0</v>
      </c>
      <c r="C263" s="71" t="s">
        <v>1869</v>
      </c>
      <c r="D263" s="197"/>
      <c r="E263" s="508">
        <v>50000.0</v>
      </c>
      <c r="F263" s="200" t="s">
        <v>606</v>
      </c>
      <c r="G263" s="513"/>
    </row>
    <row r="264">
      <c r="A264" s="206"/>
      <c r="B264" s="273">
        <v>46093.0</v>
      </c>
      <c r="C264" s="71" t="s">
        <v>1871</v>
      </c>
      <c r="D264" s="197" t="s">
        <v>554</v>
      </c>
      <c r="E264" s="508">
        <v>70000.0</v>
      </c>
      <c r="F264" s="200" t="s">
        <v>1872</v>
      </c>
      <c r="G264" s="513" t="s">
        <v>1873</v>
      </c>
    </row>
    <row r="265">
      <c r="A265" s="206"/>
      <c r="B265" s="273"/>
      <c r="C265" s="71" t="s">
        <v>1874</v>
      </c>
      <c r="D265" s="197" t="s">
        <v>554</v>
      </c>
      <c r="E265" s="508">
        <v>80000.0</v>
      </c>
      <c r="F265" s="200" t="s">
        <v>1872</v>
      </c>
      <c r="G265" s="513"/>
    </row>
    <row r="266">
      <c r="A266" s="206"/>
      <c r="B266" s="273"/>
      <c r="C266" s="71" t="s">
        <v>716</v>
      </c>
      <c r="D266" s="197" t="s">
        <v>1022</v>
      </c>
      <c r="E266" s="508">
        <v>40000.0</v>
      </c>
      <c r="F266" s="200" t="s">
        <v>1872</v>
      </c>
      <c r="G266" s="513" t="s">
        <v>1878</v>
      </c>
    </row>
    <row r="267">
      <c r="A267" s="206"/>
      <c r="B267" s="273"/>
      <c r="C267" s="71" t="s">
        <v>1880</v>
      </c>
      <c r="D267" s="197"/>
      <c r="E267" s="508">
        <v>20000.0</v>
      </c>
      <c r="F267" s="200" t="s">
        <v>1872</v>
      </c>
      <c r="G267" s="513"/>
    </row>
    <row r="268">
      <c r="A268" s="206"/>
      <c r="B268" s="273"/>
      <c r="C268" s="71"/>
      <c r="D268" s="197"/>
      <c r="E268" s="508"/>
      <c r="F268" s="200"/>
      <c r="G268" s="513"/>
    </row>
    <row r="269">
      <c r="A269" s="206"/>
      <c r="B269" s="273">
        <v>46094.0</v>
      </c>
      <c r="C269" s="71" t="s">
        <v>1884</v>
      </c>
      <c r="D269" s="197" t="s">
        <v>476</v>
      </c>
      <c r="E269" s="508">
        <v>40000.0</v>
      </c>
      <c r="F269" s="200" t="s">
        <v>1885</v>
      </c>
      <c r="G269" s="513" t="s">
        <v>1886</v>
      </c>
    </row>
    <row r="270">
      <c r="A270" s="206"/>
      <c r="B270" s="273">
        <v>46095.0</v>
      </c>
      <c r="C270" s="216" t="s">
        <v>1887</v>
      </c>
      <c r="D270" s="197"/>
      <c r="E270" s="508">
        <v>50000.0</v>
      </c>
      <c r="F270" s="200" t="s">
        <v>1856</v>
      </c>
      <c r="G270" s="513"/>
    </row>
    <row r="271">
      <c r="A271" s="206"/>
      <c r="B271" s="445">
        <v>46096.0</v>
      </c>
      <c r="C271" s="202" t="s">
        <v>1686</v>
      </c>
      <c r="D271" s="197"/>
      <c r="E271" s="482">
        <v>250000.0</v>
      </c>
      <c r="F271" s="203"/>
      <c r="G271" s="200"/>
      <c r="H271" s="69"/>
    </row>
    <row r="272">
      <c r="A272" s="206"/>
      <c r="B272" s="445">
        <v>46097.0</v>
      </c>
      <c r="C272" s="71" t="s">
        <v>1892</v>
      </c>
      <c r="D272" s="197" t="s">
        <v>1894</v>
      </c>
      <c r="E272" s="508">
        <v>75000.0</v>
      </c>
      <c r="F272" s="200" t="s">
        <v>1895</v>
      </c>
      <c r="G272" s="208" t="s">
        <v>1896</v>
      </c>
    </row>
    <row r="273">
      <c r="A273" s="206"/>
      <c r="B273" s="195"/>
      <c r="C273" s="71" t="s">
        <v>1898</v>
      </c>
      <c r="D273" s="197" t="s">
        <v>1899</v>
      </c>
      <c r="E273" s="508">
        <v>40000.0</v>
      </c>
      <c r="F273" s="200" t="s">
        <v>1895</v>
      </c>
      <c r="G273" s="208"/>
    </row>
    <row r="274">
      <c r="A274" s="206"/>
      <c r="B274" s="195"/>
      <c r="C274" s="71" t="s">
        <v>1900</v>
      </c>
      <c r="D274" s="197" t="s">
        <v>1901</v>
      </c>
      <c r="E274" s="508">
        <v>10000.0</v>
      </c>
      <c r="F274" s="200" t="s">
        <v>1895</v>
      </c>
      <c r="G274" s="92"/>
    </row>
    <row r="275">
      <c r="A275" s="206"/>
      <c r="B275" s="195"/>
      <c r="C275" s="71" t="s">
        <v>1903</v>
      </c>
      <c r="D275" s="197" t="s">
        <v>449</v>
      </c>
      <c r="E275" s="508">
        <v>10000.0</v>
      </c>
      <c r="F275" s="200" t="s">
        <v>1895</v>
      </c>
      <c r="G275" s="92"/>
    </row>
    <row r="276">
      <c r="A276" s="206"/>
      <c r="B276" s="195"/>
      <c r="C276" s="71" t="s">
        <v>1904</v>
      </c>
      <c r="D276" s="197" t="s">
        <v>1894</v>
      </c>
      <c r="E276" s="508">
        <v>25000.0</v>
      </c>
      <c r="F276" s="200" t="s">
        <v>1895</v>
      </c>
      <c r="G276" s="92"/>
    </row>
    <row r="277">
      <c r="A277" s="206"/>
      <c r="B277" s="195"/>
      <c r="C277" s="71" t="s">
        <v>586</v>
      </c>
      <c r="D277" s="197"/>
      <c r="E277" s="508">
        <v>25000.0</v>
      </c>
      <c r="F277" s="204"/>
      <c r="G277" s="92"/>
    </row>
    <row r="278">
      <c r="A278" s="206"/>
      <c r="B278" s="195"/>
      <c r="C278" s="71" t="s">
        <v>1905</v>
      </c>
      <c r="D278" s="197"/>
      <c r="E278" s="508">
        <v>13000.0</v>
      </c>
      <c r="F278" s="204"/>
      <c r="G278" s="92"/>
    </row>
    <row r="279">
      <c r="A279" s="206"/>
      <c r="B279" s="195"/>
      <c r="C279" s="71" t="s">
        <v>1907</v>
      </c>
      <c r="D279" s="197"/>
      <c r="E279" s="508">
        <v>97000.0</v>
      </c>
      <c r="F279" s="200" t="s">
        <v>1856</v>
      </c>
      <c r="G279" s="92"/>
    </row>
    <row r="280">
      <c r="A280" s="206"/>
      <c r="B280" s="299">
        <v>46112.0</v>
      </c>
      <c r="C280" s="217" t="s">
        <v>1241</v>
      </c>
      <c r="D280" s="197"/>
      <c r="E280" s="198">
        <v>150000.0</v>
      </c>
      <c r="F280" s="300" t="s">
        <v>1086</v>
      </c>
      <c r="G280" s="237" t="s">
        <v>1909</v>
      </c>
      <c r="H280" s="69"/>
    </row>
    <row r="281">
      <c r="A281" s="206"/>
      <c r="B281" s="195">
        <v>46112.0</v>
      </c>
      <c r="C281" s="205" t="s">
        <v>1594</v>
      </c>
      <c r="D281" s="197"/>
      <c r="E281" s="203">
        <v>400000.0</v>
      </c>
      <c r="F281" s="200"/>
      <c r="G281" s="357"/>
      <c r="H281" s="358"/>
    </row>
    <row r="282">
      <c r="A282" s="245"/>
      <c r="B282" s="246"/>
      <c r="C282" s="247"/>
      <c r="D282" s="248"/>
      <c r="E282" s="249"/>
      <c r="F282" s="288"/>
      <c r="G282" s="252"/>
      <c r="H282" s="254"/>
      <c r="I282" s="254"/>
      <c r="J282" s="254"/>
      <c r="K282" s="254"/>
      <c r="L282" s="254"/>
      <c r="M282" s="254"/>
      <c r="N282" s="254"/>
      <c r="O282" s="254"/>
      <c r="P282" s="254"/>
      <c r="Q282" s="254"/>
      <c r="R282" s="254"/>
      <c r="S282" s="254"/>
      <c r="T282" s="254"/>
      <c r="U282" s="254"/>
      <c r="V282" s="254"/>
      <c r="W282" s="254"/>
      <c r="X282" s="254"/>
      <c r="Y282" s="254"/>
      <c r="Z282" s="254"/>
      <c r="AA282" s="254"/>
      <c r="AB282" s="254"/>
      <c r="AC282" s="254"/>
      <c r="AD282" s="254"/>
      <c r="AE282" s="254"/>
      <c r="AF282" s="254"/>
      <c r="AG282" s="254"/>
      <c r="AH282" s="254"/>
      <c r="AI282" s="254"/>
      <c r="AJ282" s="254"/>
      <c r="AK282" s="254"/>
      <c r="AL282" s="254"/>
      <c r="AM282" s="254"/>
      <c r="AN282" s="254"/>
      <c r="AO282" s="254"/>
      <c r="AP282" s="254"/>
      <c r="AQ282" s="254"/>
      <c r="AR282" s="254"/>
      <c r="AS282" s="254"/>
      <c r="AT282" s="254"/>
    </row>
    <row r="283">
      <c r="A283" s="206"/>
      <c r="B283" s="445">
        <v>46114.0</v>
      </c>
      <c r="C283" s="71" t="s">
        <v>1718</v>
      </c>
      <c r="D283" s="197" t="s">
        <v>1719</v>
      </c>
      <c r="E283" s="502">
        <v>20000.0</v>
      </c>
      <c r="F283" s="200" t="s">
        <v>1717</v>
      </c>
      <c r="G283" s="208" t="s">
        <v>1721</v>
      </c>
    </row>
    <row r="284">
      <c r="A284" s="206"/>
      <c r="B284" s="195"/>
      <c r="C284" s="71" t="s">
        <v>1724</v>
      </c>
      <c r="D284" s="197" t="s">
        <v>1725</v>
      </c>
      <c r="E284" s="502">
        <v>25000.0</v>
      </c>
      <c r="F284" s="200" t="s">
        <v>1717</v>
      </c>
      <c r="G284" s="208" t="s">
        <v>1721</v>
      </c>
    </row>
    <row r="285">
      <c r="A285" s="206"/>
      <c r="B285" s="195"/>
      <c r="C285" s="71" t="s">
        <v>1915</v>
      </c>
      <c r="D285" s="197"/>
      <c r="E285" s="502">
        <v>25000.0</v>
      </c>
      <c r="F285" s="200" t="s">
        <v>1717</v>
      </c>
      <c r="G285" s="92"/>
    </row>
    <row r="286">
      <c r="A286" s="519"/>
      <c r="B286" s="351">
        <v>46114.0</v>
      </c>
      <c r="C286" s="403" t="s">
        <v>1744</v>
      </c>
      <c r="D286" s="520"/>
      <c r="E286" s="521">
        <v>122100.0</v>
      </c>
      <c r="F286" s="522"/>
      <c r="G286" s="511"/>
      <c r="H286" s="48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</row>
    <row r="287">
      <c r="A287" s="206"/>
      <c r="B287" s="351">
        <v>46114.0</v>
      </c>
      <c r="C287" s="205" t="s">
        <v>1747</v>
      </c>
      <c r="D287" s="197"/>
      <c r="E287" s="502">
        <v>166500.0</v>
      </c>
      <c r="F287" s="203"/>
      <c r="G287" s="204"/>
      <c r="H287" s="358"/>
    </row>
    <row r="288">
      <c r="A288" s="206"/>
      <c r="B288" s="351">
        <v>46115.0</v>
      </c>
      <c r="C288" s="71" t="s">
        <v>1921</v>
      </c>
      <c r="D288" s="197"/>
      <c r="E288" s="502">
        <v>30000.0</v>
      </c>
      <c r="F288" s="200" t="s">
        <v>1447</v>
      </c>
      <c r="G288" s="513"/>
    </row>
    <row r="289">
      <c r="A289" s="206"/>
      <c r="B289" s="351">
        <v>46117.0</v>
      </c>
      <c r="C289" s="71" t="s">
        <v>1925</v>
      </c>
      <c r="D289" s="197"/>
      <c r="E289" s="502">
        <v>45000.0</v>
      </c>
      <c r="F289" s="200" t="s">
        <v>1708</v>
      </c>
      <c r="G289" s="513"/>
    </row>
    <row r="290">
      <c r="A290" s="206"/>
      <c r="B290" s="351"/>
      <c r="C290" s="71" t="s">
        <v>1927</v>
      </c>
      <c r="D290" s="197"/>
      <c r="E290" s="502">
        <v>50000.0</v>
      </c>
      <c r="F290" s="200" t="s">
        <v>1708</v>
      </c>
      <c r="G290" s="513"/>
    </row>
    <row r="291">
      <c r="A291" s="206"/>
      <c r="B291" s="351">
        <v>46119.0</v>
      </c>
      <c r="C291" s="71" t="s">
        <v>1931</v>
      </c>
      <c r="D291" s="197"/>
      <c r="E291" s="502">
        <v>450000.0</v>
      </c>
      <c r="F291" s="200"/>
      <c r="G291" s="513"/>
    </row>
    <row r="292">
      <c r="A292" s="206"/>
      <c r="B292" s="351">
        <v>46121.0</v>
      </c>
      <c r="C292" s="71" t="s">
        <v>523</v>
      </c>
      <c r="D292" s="197" t="s">
        <v>449</v>
      </c>
      <c r="E292" s="502">
        <v>40000.0</v>
      </c>
      <c r="F292" s="200" t="s">
        <v>1447</v>
      </c>
      <c r="G292" s="513"/>
    </row>
    <row r="293">
      <c r="A293" s="206"/>
      <c r="B293" s="351"/>
      <c r="C293" s="71" t="s">
        <v>1053</v>
      </c>
      <c r="D293" s="197" t="s">
        <v>1022</v>
      </c>
      <c r="E293" s="502">
        <v>70000.0</v>
      </c>
      <c r="F293" s="200" t="s">
        <v>1447</v>
      </c>
      <c r="G293" s="513"/>
    </row>
    <row r="294">
      <c r="A294" s="206"/>
      <c r="B294" s="351"/>
      <c r="C294" s="71" t="s">
        <v>824</v>
      </c>
      <c r="D294" s="197" t="s">
        <v>1022</v>
      </c>
      <c r="E294" s="502">
        <v>70000.0</v>
      </c>
      <c r="F294" s="200" t="s">
        <v>1447</v>
      </c>
      <c r="G294" s="513"/>
    </row>
    <row r="295">
      <c r="A295" s="206"/>
      <c r="B295" s="351"/>
      <c r="C295" s="71" t="s">
        <v>927</v>
      </c>
      <c r="D295" s="197"/>
      <c r="E295" s="502">
        <v>45000.0</v>
      </c>
      <c r="F295" s="200" t="s">
        <v>1447</v>
      </c>
      <c r="G295" s="513"/>
    </row>
    <row r="296">
      <c r="A296" s="206"/>
      <c r="B296" s="351"/>
      <c r="C296" s="71" t="s">
        <v>1940</v>
      </c>
      <c r="D296" s="197"/>
      <c r="E296" s="502">
        <v>200000.0</v>
      </c>
      <c r="F296" s="200" t="s">
        <v>1447</v>
      </c>
      <c r="G296" s="513"/>
    </row>
    <row r="297">
      <c r="A297" s="206"/>
      <c r="B297" s="351">
        <v>46123.0</v>
      </c>
      <c r="C297" s="71" t="s">
        <v>1943</v>
      </c>
      <c r="D297" s="197" t="s">
        <v>1944</v>
      </c>
      <c r="E297" s="502">
        <v>3900000.0</v>
      </c>
      <c r="F297" s="200" t="s">
        <v>1945</v>
      </c>
      <c r="G297" s="513"/>
    </row>
    <row r="298">
      <c r="A298" s="206"/>
      <c r="B298" s="351"/>
      <c r="C298" s="71" t="s">
        <v>1949</v>
      </c>
      <c r="D298" s="197" t="s">
        <v>1018</v>
      </c>
      <c r="E298" s="502">
        <v>1350000.0</v>
      </c>
      <c r="F298" s="200" t="s">
        <v>1945</v>
      </c>
      <c r="G298" s="513"/>
    </row>
    <row r="299">
      <c r="A299" s="206"/>
      <c r="B299" s="351"/>
      <c r="C299" s="71" t="s">
        <v>1954</v>
      </c>
      <c r="D299" s="197"/>
      <c r="E299" s="502">
        <v>550000.0</v>
      </c>
      <c r="F299" s="200" t="s">
        <v>1945</v>
      </c>
      <c r="G299" s="513"/>
    </row>
    <row r="300">
      <c r="A300" s="206"/>
      <c r="B300" s="351"/>
      <c r="C300" s="71" t="s">
        <v>1961</v>
      </c>
      <c r="D300" s="197"/>
      <c r="E300" s="502">
        <v>65000.0</v>
      </c>
      <c r="F300" s="200" t="s">
        <v>1945</v>
      </c>
      <c r="G300" s="513"/>
    </row>
    <row r="301">
      <c r="A301" s="206"/>
      <c r="B301" s="351"/>
      <c r="C301" s="71" t="s">
        <v>1964</v>
      </c>
      <c r="D301" s="197" t="s">
        <v>449</v>
      </c>
      <c r="E301" s="502">
        <v>60000.0</v>
      </c>
      <c r="F301" s="200" t="s">
        <v>1945</v>
      </c>
      <c r="G301" s="513"/>
    </row>
    <row r="302">
      <c r="A302" s="206"/>
      <c r="B302" s="351"/>
      <c r="C302" s="71" t="s">
        <v>1966</v>
      </c>
      <c r="D302" s="197" t="s">
        <v>476</v>
      </c>
      <c r="E302" s="502">
        <v>35000.0</v>
      </c>
      <c r="F302" s="200" t="s">
        <v>1945</v>
      </c>
      <c r="G302" s="513"/>
    </row>
    <row r="303">
      <c r="A303" s="206"/>
      <c r="B303" s="351"/>
      <c r="C303" s="71" t="s">
        <v>1972</v>
      </c>
      <c r="D303" s="197"/>
      <c r="E303" s="502">
        <v>100000.0</v>
      </c>
      <c r="F303" s="200" t="s">
        <v>1945</v>
      </c>
      <c r="G303" s="513"/>
    </row>
    <row r="304">
      <c r="A304" s="206"/>
      <c r="B304" s="351">
        <v>46123.0</v>
      </c>
      <c r="C304" s="71" t="s">
        <v>1976</v>
      </c>
      <c r="D304" s="197" t="s">
        <v>476</v>
      </c>
      <c r="E304" s="502">
        <v>1100000.0</v>
      </c>
      <c r="F304" s="268" t="s">
        <v>582</v>
      </c>
      <c r="G304" s="513"/>
    </row>
    <row r="305">
      <c r="A305" s="206"/>
      <c r="B305" s="351"/>
      <c r="C305" s="542" t="s">
        <v>1980</v>
      </c>
      <c r="D305" s="197" t="s">
        <v>476</v>
      </c>
      <c r="E305" s="502">
        <v>490000.0</v>
      </c>
      <c r="F305" s="268" t="s">
        <v>582</v>
      </c>
      <c r="G305" s="513"/>
    </row>
    <row r="306">
      <c r="A306" s="206"/>
      <c r="B306" s="351"/>
      <c r="C306" s="542" t="s">
        <v>1985</v>
      </c>
      <c r="D306" s="197" t="s">
        <v>476</v>
      </c>
      <c r="E306" s="502">
        <v>200000.0</v>
      </c>
      <c r="F306" s="268" t="s">
        <v>582</v>
      </c>
      <c r="G306" s="513"/>
    </row>
    <row r="307">
      <c r="A307" s="206"/>
      <c r="B307" s="351"/>
      <c r="C307" s="71" t="s">
        <v>1988</v>
      </c>
      <c r="D307" s="197" t="s">
        <v>476</v>
      </c>
      <c r="E307" s="502">
        <v>200000.0</v>
      </c>
      <c r="F307" s="268" t="s">
        <v>582</v>
      </c>
      <c r="G307" s="513"/>
    </row>
    <row r="308">
      <c r="A308" s="206"/>
      <c r="B308" s="351"/>
      <c r="C308" s="71" t="s">
        <v>1991</v>
      </c>
      <c r="D308" s="197" t="s">
        <v>541</v>
      </c>
      <c r="E308" s="502">
        <v>105000.0</v>
      </c>
      <c r="F308" s="268" t="s">
        <v>582</v>
      </c>
      <c r="G308" s="513"/>
    </row>
    <row r="309">
      <c r="A309" s="206"/>
      <c r="B309" s="351"/>
      <c r="C309" s="71" t="s">
        <v>1995</v>
      </c>
      <c r="D309" s="197" t="s">
        <v>476</v>
      </c>
      <c r="E309" s="502">
        <v>185000.0</v>
      </c>
      <c r="F309" s="268" t="s">
        <v>582</v>
      </c>
      <c r="G309" s="513"/>
    </row>
    <row r="310">
      <c r="A310" s="206"/>
      <c r="B310" s="351"/>
      <c r="C310" s="71" t="s">
        <v>1999</v>
      </c>
      <c r="D310" s="197" t="s">
        <v>476</v>
      </c>
      <c r="E310" s="502">
        <v>65000.0</v>
      </c>
      <c r="F310" s="268" t="s">
        <v>582</v>
      </c>
      <c r="G310" s="513"/>
    </row>
    <row r="311">
      <c r="A311" s="206"/>
      <c r="B311" s="351"/>
      <c r="C311" s="71" t="s">
        <v>583</v>
      </c>
      <c r="D311" s="197"/>
      <c r="E311" s="502">
        <v>75000.0</v>
      </c>
      <c r="F311" s="268" t="s">
        <v>582</v>
      </c>
      <c r="G311" s="513"/>
    </row>
    <row r="312">
      <c r="A312" s="206"/>
      <c r="B312" s="351">
        <v>46127.0</v>
      </c>
      <c r="C312" s="306" t="s">
        <v>2000</v>
      </c>
      <c r="D312" s="197" t="s">
        <v>476</v>
      </c>
      <c r="E312" s="257">
        <v>200000.0</v>
      </c>
      <c r="F312" s="200" t="s">
        <v>1598</v>
      </c>
      <c r="G312" s="512" t="s">
        <v>2001</v>
      </c>
    </row>
    <row r="313">
      <c r="A313" s="206"/>
      <c r="B313" s="351">
        <v>46128.0</v>
      </c>
      <c r="C313" s="71" t="s">
        <v>2002</v>
      </c>
      <c r="D313" s="197"/>
      <c r="E313" s="502">
        <v>70000.0</v>
      </c>
      <c r="F313" s="200" t="s">
        <v>606</v>
      </c>
      <c r="G313" s="513"/>
    </row>
    <row r="314">
      <c r="A314" s="206"/>
      <c r="B314" s="351"/>
      <c r="C314" s="71" t="s">
        <v>2004</v>
      </c>
      <c r="D314" s="197"/>
      <c r="E314" s="502">
        <v>30000.0</v>
      </c>
      <c r="F314" s="200" t="s">
        <v>606</v>
      </c>
      <c r="G314" s="513"/>
    </row>
    <row r="315">
      <c r="A315" s="206"/>
      <c r="B315" s="351">
        <v>46128.0</v>
      </c>
      <c r="C315" s="71" t="s">
        <v>2006</v>
      </c>
      <c r="D315" s="197" t="s">
        <v>476</v>
      </c>
      <c r="E315" s="502">
        <v>200000.0</v>
      </c>
      <c r="F315" s="268" t="s">
        <v>582</v>
      </c>
      <c r="G315" s="513"/>
    </row>
    <row r="316">
      <c r="A316" s="206"/>
      <c r="B316" s="351"/>
      <c r="C316" s="71" t="s">
        <v>684</v>
      </c>
      <c r="D316" s="197" t="s">
        <v>814</v>
      </c>
      <c r="E316" s="502">
        <v>70000.0</v>
      </c>
      <c r="F316" s="268" t="s">
        <v>582</v>
      </c>
      <c r="G316" s="513"/>
    </row>
    <row r="317">
      <c r="A317" s="206"/>
      <c r="B317" s="351"/>
      <c r="C317" s="71" t="s">
        <v>1972</v>
      </c>
      <c r="D317" s="197"/>
      <c r="E317" s="502">
        <v>75000.0</v>
      </c>
      <c r="F317" s="268" t="s">
        <v>582</v>
      </c>
      <c r="G317" s="513"/>
    </row>
    <row r="318">
      <c r="A318" s="206"/>
      <c r="B318" s="351">
        <v>46128.0</v>
      </c>
      <c r="C318" s="71" t="s">
        <v>2010</v>
      </c>
      <c r="D318" s="197" t="s">
        <v>554</v>
      </c>
      <c r="E318" s="502">
        <v>300000.0</v>
      </c>
      <c r="F318" s="200" t="s">
        <v>1532</v>
      </c>
      <c r="G318" s="513"/>
    </row>
    <row r="319">
      <c r="A319" s="206"/>
      <c r="B319" s="351">
        <v>46128.0</v>
      </c>
      <c r="C319" s="71" t="s">
        <v>2011</v>
      </c>
      <c r="D319" s="197"/>
      <c r="E319" s="502">
        <v>40000.0</v>
      </c>
      <c r="F319" s="200" t="s">
        <v>2012</v>
      </c>
      <c r="G319" s="513"/>
    </row>
    <row r="320">
      <c r="A320" s="206"/>
      <c r="B320" s="351"/>
      <c r="C320" s="71" t="s">
        <v>2013</v>
      </c>
      <c r="D320" s="197"/>
      <c r="E320" s="502">
        <v>20000.0</v>
      </c>
      <c r="F320" s="200" t="s">
        <v>2012</v>
      </c>
      <c r="G320" s="513"/>
    </row>
    <row r="321">
      <c r="A321" s="206"/>
      <c r="B321" s="351">
        <v>46128.0</v>
      </c>
      <c r="C321" s="202" t="s">
        <v>2014</v>
      </c>
      <c r="D321" s="197"/>
      <c r="E321" s="502">
        <v>3500000.0</v>
      </c>
      <c r="F321" s="200" t="s">
        <v>1461</v>
      </c>
      <c r="G321" s="513"/>
    </row>
    <row r="322">
      <c r="A322" s="206"/>
      <c r="B322" s="351"/>
      <c r="C322" s="71" t="s">
        <v>2015</v>
      </c>
      <c r="D322" s="197"/>
      <c r="E322" s="502">
        <v>300000.0</v>
      </c>
      <c r="F322" s="200" t="s">
        <v>1461</v>
      </c>
      <c r="G322" s="513"/>
    </row>
    <row r="323">
      <c r="A323" s="206"/>
      <c r="B323" s="351"/>
      <c r="C323" s="71" t="s">
        <v>2016</v>
      </c>
      <c r="D323" s="197" t="s">
        <v>2017</v>
      </c>
      <c r="E323" s="502">
        <v>100000.0</v>
      </c>
      <c r="F323" s="200" t="s">
        <v>1461</v>
      </c>
      <c r="G323" s="513"/>
    </row>
    <row r="324">
      <c r="A324" s="206"/>
      <c r="B324" s="351"/>
      <c r="C324" s="71"/>
      <c r="D324" s="197"/>
      <c r="E324" s="502"/>
      <c r="F324" s="200"/>
      <c r="G324" s="513"/>
    </row>
    <row r="325">
      <c r="A325" s="206"/>
      <c r="B325" s="351">
        <v>46129.0</v>
      </c>
      <c r="C325" s="71" t="s">
        <v>1767</v>
      </c>
      <c r="D325" s="197"/>
      <c r="E325" s="502">
        <v>150000.0</v>
      </c>
      <c r="F325" s="200" t="s">
        <v>1768</v>
      </c>
      <c r="G325" s="513"/>
    </row>
    <row r="326">
      <c r="A326" s="206"/>
      <c r="B326" s="351"/>
      <c r="C326" s="71" t="s">
        <v>2018</v>
      </c>
      <c r="D326" s="197"/>
      <c r="E326" s="502">
        <v>50000.0</v>
      </c>
      <c r="F326" s="200" t="s">
        <v>1768</v>
      </c>
      <c r="G326" s="513"/>
    </row>
    <row r="327">
      <c r="A327" s="206"/>
      <c r="B327" s="351">
        <v>46130.0</v>
      </c>
      <c r="C327" s="71" t="s">
        <v>2019</v>
      </c>
      <c r="D327" s="197" t="s">
        <v>476</v>
      </c>
      <c r="E327" s="502">
        <v>15000.0</v>
      </c>
      <c r="F327" s="200" t="s">
        <v>2020</v>
      </c>
      <c r="G327" s="513" t="s">
        <v>2021</v>
      </c>
    </row>
    <row r="328">
      <c r="A328" s="206"/>
      <c r="B328" s="351"/>
      <c r="C328" s="71" t="s">
        <v>2022</v>
      </c>
      <c r="D328" s="197" t="s">
        <v>476</v>
      </c>
      <c r="E328" s="502">
        <v>150000.0</v>
      </c>
      <c r="F328" s="200" t="s">
        <v>2020</v>
      </c>
      <c r="G328" s="513"/>
    </row>
    <row r="329">
      <c r="A329" s="206"/>
      <c r="B329" s="351"/>
      <c r="C329" s="71" t="s">
        <v>2023</v>
      </c>
      <c r="D329" s="197" t="s">
        <v>476</v>
      </c>
      <c r="E329" s="502">
        <v>35000.0</v>
      </c>
      <c r="F329" s="200" t="s">
        <v>2020</v>
      </c>
      <c r="G329" s="513"/>
    </row>
    <row r="330">
      <c r="A330" s="206"/>
      <c r="B330" s="351">
        <v>46130.0</v>
      </c>
      <c r="C330" s="71" t="s">
        <v>1798</v>
      </c>
      <c r="D330" s="197"/>
      <c r="E330" s="502"/>
      <c r="F330" s="200" t="s">
        <v>1800</v>
      </c>
      <c r="G330" s="513"/>
    </row>
    <row r="331">
      <c r="A331" s="206"/>
      <c r="B331" s="351">
        <v>46133.0</v>
      </c>
      <c r="C331" s="71" t="s">
        <v>1921</v>
      </c>
      <c r="D331" s="197"/>
      <c r="E331" s="502">
        <v>100000.0</v>
      </c>
      <c r="F331" s="200" t="s">
        <v>1768</v>
      </c>
      <c r="G331" s="512" t="s">
        <v>2025</v>
      </c>
    </row>
    <row r="332">
      <c r="A332" s="206"/>
      <c r="B332" s="195"/>
      <c r="C332" s="71" t="s">
        <v>2026</v>
      </c>
      <c r="D332" s="197"/>
      <c r="E332" s="502">
        <v>150000.0</v>
      </c>
      <c r="F332" s="200" t="s">
        <v>1768</v>
      </c>
      <c r="G332" s="92"/>
    </row>
    <row r="333">
      <c r="A333" s="206"/>
      <c r="B333" s="195"/>
      <c r="C333" s="71" t="s">
        <v>2027</v>
      </c>
      <c r="D333" s="197"/>
      <c r="E333" s="502">
        <v>120000.0</v>
      </c>
      <c r="F333" s="200" t="s">
        <v>1768</v>
      </c>
      <c r="G333" s="92"/>
    </row>
    <row r="334">
      <c r="A334" s="206"/>
      <c r="B334" s="195"/>
      <c r="C334" s="71" t="s">
        <v>2030</v>
      </c>
      <c r="D334" s="197"/>
      <c r="E334" s="502">
        <v>75000.0</v>
      </c>
      <c r="F334" s="200" t="s">
        <v>1768</v>
      </c>
      <c r="G334" s="92"/>
    </row>
    <row r="335">
      <c r="A335" s="206"/>
      <c r="B335" s="351">
        <v>46133.0</v>
      </c>
      <c r="C335" s="217" t="s">
        <v>2032</v>
      </c>
      <c r="D335" s="197" t="s">
        <v>1689</v>
      </c>
      <c r="E335" s="198">
        <v>200000.0</v>
      </c>
      <c r="F335" s="268" t="s">
        <v>582</v>
      </c>
      <c r="G335" s="237" t="s">
        <v>2033</v>
      </c>
    </row>
    <row r="336">
      <c r="A336" s="206"/>
      <c r="B336" s="195"/>
      <c r="C336" s="217" t="s">
        <v>2034</v>
      </c>
      <c r="D336" s="197"/>
      <c r="E336" s="198">
        <v>375000.0</v>
      </c>
      <c r="F336" s="268" t="s">
        <v>582</v>
      </c>
      <c r="G336" s="237" t="s">
        <v>2037</v>
      </c>
    </row>
    <row r="337">
      <c r="A337" s="206"/>
      <c r="B337" s="195"/>
      <c r="C337" s="71" t="s">
        <v>2038</v>
      </c>
      <c r="D337" s="197" t="s">
        <v>1689</v>
      </c>
      <c r="E337" s="502">
        <v>35000.0</v>
      </c>
      <c r="F337" s="268" t="s">
        <v>582</v>
      </c>
      <c r="G337" s="92"/>
    </row>
    <row r="338">
      <c r="A338" s="206"/>
      <c r="B338" s="351">
        <v>46139.0</v>
      </c>
      <c r="C338" s="71" t="s">
        <v>2040</v>
      </c>
      <c r="D338" s="197" t="s">
        <v>541</v>
      </c>
      <c r="E338" s="502">
        <v>375000.0</v>
      </c>
      <c r="F338" s="286" t="s">
        <v>1860</v>
      </c>
      <c r="G338" s="92"/>
    </row>
    <row r="339">
      <c r="A339" s="206"/>
      <c r="B339" s="351">
        <v>46139.0</v>
      </c>
      <c r="C339" s="71" t="s">
        <v>2041</v>
      </c>
      <c r="D339" s="197" t="s">
        <v>1022</v>
      </c>
      <c r="E339" s="502">
        <v>1100000.0</v>
      </c>
      <c r="F339" s="200" t="s">
        <v>2042</v>
      </c>
      <c r="G339" s="92"/>
    </row>
    <row r="340">
      <c r="A340" s="206"/>
      <c r="B340" s="195"/>
      <c r="C340" s="71" t="s">
        <v>2043</v>
      </c>
      <c r="D340" s="197" t="s">
        <v>814</v>
      </c>
      <c r="E340" s="502">
        <v>140000.0</v>
      </c>
      <c r="F340" s="200" t="s">
        <v>2042</v>
      </c>
      <c r="G340" s="92"/>
    </row>
    <row r="341">
      <c r="A341" s="206"/>
      <c r="B341" s="195"/>
      <c r="C341" s="71" t="s">
        <v>2044</v>
      </c>
      <c r="D341" s="197" t="s">
        <v>482</v>
      </c>
      <c r="E341" s="502">
        <v>20000.0</v>
      </c>
      <c r="F341" s="200" t="s">
        <v>2042</v>
      </c>
      <c r="G341" s="92"/>
    </row>
    <row r="342">
      <c r="A342" s="206"/>
      <c r="B342" s="195"/>
      <c r="C342" s="71" t="s">
        <v>583</v>
      </c>
      <c r="D342" s="197"/>
      <c r="E342" s="502">
        <v>50000.0</v>
      </c>
      <c r="F342" s="200" t="s">
        <v>2042</v>
      </c>
      <c r="G342" s="92"/>
    </row>
    <row r="343">
      <c r="A343" s="206"/>
      <c r="B343" s="351">
        <v>46139.0</v>
      </c>
      <c r="C343" s="71" t="s">
        <v>2046</v>
      </c>
      <c r="D343" s="197" t="s">
        <v>887</v>
      </c>
      <c r="E343" s="502">
        <v>110000.0</v>
      </c>
      <c r="F343" s="200" t="s">
        <v>2047</v>
      </c>
      <c r="G343" s="92"/>
    </row>
    <row r="344">
      <c r="A344" s="206"/>
      <c r="B344" s="195"/>
      <c r="C344" s="71" t="s">
        <v>2048</v>
      </c>
      <c r="D344" s="197" t="s">
        <v>1022</v>
      </c>
      <c r="E344" s="502">
        <v>11000.0</v>
      </c>
      <c r="F344" s="200" t="s">
        <v>2049</v>
      </c>
      <c r="G344" s="92"/>
    </row>
    <row r="345">
      <c r="A345" s="206"/>
      <c r="B345" s="195"/>
      <c r="C345" s="71" t="s">
        <v>2050</v>
      </c>
      <c r="D345" s="197" t="s">
        <v>2051</v>
      </c>
      <c r="E345" s="502">
        <v>40000.0</v>
      </c>
      <c r="F345" s="200" t="s">
        <v>2049</v>
      </c>
      <c r="G345" s="92"/>
    </row>
    <row r="346">
      <c r="A346" s="206"/>
      <c r="B346" s="351">
        <v>46139.0</v>
      </c>
      <c r="C346" s="71" t="s">
        <v>2052</v>
      </c>
      <c r="D346" s="197" t="s">
        <v>1022</v>
      </c>
      <c r="E346" s="502">
        <v>5000.0</v>
      </c>
      <c r="F346" s="200" t="s">
        <v>2020</v>
      </c>
      <c r="G346" s="92"/>
    </row>
    <row r="347">
      <c r="A347" s="206"/>
      <c r="B347" s="195"/>
      <c r="C347" s="71" t="s">
        <v>2053</v>
      </c>
      <c r="D347" s="197" t="s">
        <v>1099</v>
      </c>
      <c r="E347" s="502">
        <v>10000.0</v>
      </c>
      <c r="F347" s="200" t="s">
        <v>2020</v>
      </c>
      <c r="G347" s="92"/>
    </row>
    <row r="348">
      <c r="A348" s="206"/>
      <c r="B348" s="351">
        <v>46140.0</v>
      </c>
      <c r="C348" s="202" t="s">
        <v>2054</v>
      </c>
      <c r="D348" s="197"/>
      <c r="E348" s="502">
        <v>1000000.0</v>
      </c>
      <c r="F348" s="200" t="s">
        <v>1768</v>
      </c>
      <c r="G348" s="92"/>
    </row>
    <row r="349">
      <c r="A349" s="206"/>
      <c r="B349" s="351">
        <v>46142.0</v>
      </c>
      <c r="C349" s="71" t="s">
        <v>2059</v>
      </c>
      <c r="D349" s="197" t="s">
        <v>1022</v>
      </c>
      <c r="E349" s="502">
        <v>45000.0</v>
      </c>
      <c r="F349" s="200" t="s">
        <v>1447</v>
      </c>
      <c r="G349" s="92"/>
    </row>
    <row r="350">
      <c r="A350" s="206"/>
      <c r="B350" s="351"/>
      <c r="C350" s="71" t="s">
        <v>1741</v>
      </c>
      <c r="D350" s="197"/>
      <c r="E350" s="502">
        <v>50000.0</v>
      </c>
      <c r="F350" s="200" t="s">
        <v>1447</v>
      </c>
      <c r="G350" s="92"/>
    </row>
    <row r="351">
      <c r="A351" s="206"/>
      <c r="B351" s="351"/>
      <c r="C351" s="71" t="s">
        <v>2062</v>
      </c>
      <c r="D351" s="197" t="s">
        <v>554</v>
      </c>
      <c r="E351" s="502">
        <v>80000.0</v>
      </c>
      <c r="F351" s="200" t="s">
        <v>1447</v>
      </c>
      <c r="G351" s="92"/>
    </row>
    <row r="352">
      <c r="A352" s="206"/>
      <c r="B352" s="351"/>
      <c r="C352" s="71" t="s">
        <v>2064</v>
      </c>
      <c r="D352" s="197" t="s">
        <v>1130</v>
      </c>
      <c r="E352" s="502">
        <v>250000.0</v>
      </c>
      <c r="F352" s="200" t="s">
        <v>1447</v>
      </c>
      <c r="G352" s="92"/>
    </row>
    <row r="353">
      <c r="A353" s="206"/>
      <c r="B353" s="351"/>
      <c r="C353" s="71" t="s">
        <v>2066</v>
      </c>
      <c r="D353" s="197" t="s">
        <v>554</v>
      </c>
      <c r="E353" s="502">
        <v>50000.0</v>
      </c>
      <c r="F353" s="200" t="s">
        <v>1447</v>
      </c>
      <c r="G353" s="92"/>
    </row>
    <row r="354">
      <c r="A354" s="206"/>
      <c r="B354" s="195">
        <v>46142.0</v>
      </c>
      <c r="C354" s="71" t="s">
        <v>2067</v>
      </c>
      <c r="D354" s="197"/>
      <c r="E354" s="502">
        <v>100000.0</v>
      </c>
      <c r="F354" s="200" t="s">
        <v>1856</v>
      </c>
      <c r="G354" s="92"/>
    </row>
    <row r="355">
      <c r="A355" s="206"/>
      <c r="B355" s="195"/>
      <c r="C355" s="71" t="s">
        <v>2070</v>
      </c>
      <c r="D355" s="197"/>
      <c r="E355" s="502">
        <v>164000.0</v>
      </c>
      <c r="F355" s="204"/>
      <c r="G355" s="92"/>
    </row>
    <row r="356">
      <c r="A356" s="206"/>
      <c r="B356" s="351">
        <v>46142.0</v>
      </c>
      <c r="C356" s="205" t="s">
        <v>1663</v>
      </c>
      <c r="D356" s="197"/>
      <c r="E356" s="502">
        <v>400000.0</v>
      </c>
      <c r="F356" s="200"/>
      <c r="G356" s="357"/>
      <c r="H356" s="358"/>
    </row>
    <row r="357">
      <c r="A357" s="245"/>
      <c r="B357" s="246"/>
      <c r="C357" s="247"/>
      <c r="D357" s="248"/>
      <c r="E357" s="249"/>
      <c r="F357" s="288"/>
      <c r="G357" s="252"/>
      <c r="H357" s="254"/>
      <c r="I357" s="254"/>
      <c r="J357" s="254"/>
      <c r="K357" s="254"/>
      <c r="L357" s="254"/>
      <c r="M357" s="254"/>
      <c r="N357" s="254"/>
      <c r="O357" s="254"/>
      <c r="P357" s="254"/>
      <c r="Q357" s="254"/>
      <c r="R357" s="254"/>
      <c r="S357" s="254"/>
      <c r="T357" s="254"/>
      <c r="U357" s="254"/>
      <c r="V357" s="254"/>
      <c r="W357" s="254"/>
      <c r="X357" s="254"/>
      <c r="Y357" s="254"/>
      <c r="Z357" s="254"/>
      <c r="AA357" s="254"/>
      <c r="AB357" s="254"/>
      <c r="AC357" s="254"/>
      <c r="AD357" s="254"/>
      <c r="AE357" s="254"/>
      <c r="AF357" s="254"/>
      <c r="AG357" s="254"/>
      <c r="AH357" s="254"/>
      <c r="AI357" s="254"/>
      <c r="AJ357" s="254"/>
      <c r="AK357" s="254"/>
      <c r="AL357" s="254"/>
      <c r="AM357" s="254"/>
      <c r="AN357" s="254"/>
      <c r="AO357" s="254"/>
      <c r="AP357" s="254"/>
      <c r="AQ357" s="254"/>
      <c r="AR357" s="254"/>
      <c r="AS357" s="254"/>
      <c r="AT357" s="254"/>
    </row>
    <row r="358">
      <c r="A358" s="206"/>
      <c r="B358" s="195">
        <v>46147.0</v>
      </c>
      <c r="C358" s="590" t="s">
        <v>1798</v>
      </c>
      <c r="D358" s="225"/>
      <c r="E358" s="592">
        <v>50000.0</v>
      </c>
      <c r="F358" s="200" t="s">
        <v>1800</v>
      </c>
      <c r="G358" s="594"/>
    </row>
    <row r="359">
      <c r="A359" s="206"/>
      <c r="B359" s="195"/>
      <c r="C359" s="596" t="s">
        <v>1802</v>
      </c>
      <c r="D359" s="520"/>
      <c r="E359" s="597">
        <v>25000.0</v>
      </c>
      <c r="F359" s="200" t="s">
        <v>1800</v>
      </c>
      <c r="G359" s="599"/>
    </row>
    <row r="360">
      <c r="A360" s="206"/>
      <c r="B360" s="195"/>
      <c r="C360" s="71" t="s">
        <v>1858</v>
      </c>
      <c r="D360" s="197"/>
      <c r="E360" s="398">
        <v>20000.0</v>
      </c>
      <c r="F360" s="200" t="s">
        <v>1800</v>
      </c>
      <c r="G360" s="92"/>
    </row>
    <row r="361">
      <c r="A361" s="519"/>
      <c r="B361" s="351">
        <v>46144.0</v>
      </c>
      <c r="C361" s="403" t="s">
        <v>1817</v>
      </c>
      <c r="D361" s="520"/>
      <c r="E361" s="597">
        <v>122100.0</v>
      </c>
      <c r="F361" s="522"/>
      <c r="G361" s="604"/>
      <c r="H361" s="48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</row>
    <row r="362">
      <c r="A362" s="206"/>
      <c r="B362" s="351">
        <v>46144.0</v>
      </c>
      <c r="C362" s="205" t="s">
        <v>1818</v>
      </c>
      <c r="D362" s="197"/>
      <c r="E362" s="398">
        <v>166500.0</v>
      </c>
      <c r="F362" s="203"/>
      <c r="G362" s="204"/>
      <c r="H362" s="358"/>
    </row>
    <row r="363">
      <c r="A363" s="206"/>
      <c r="B363" s="351"/>
      <c r="C363" s="71"/>
      <c r="D363" s="197"/>
      <c r="E363" s="398"/>
      <c r="F363" s="203"/>
      <c r="G363" s="204"/>
    </row>
    <row r="364">
      <c r="A364" s="206"/>
      <c r="B364" s="498">
        <v>46147.0</v>
      </c>
      <c r="C364" s="611" t="s">
        <v>1798</v>
      </c>
      <c r="D364" s="197"/>
      <c r="E364" s="398">
        <v>50000.0</v>
      </c>
      <c r="F364" s="203"/>
      <c r="G364" s="204"/>
    </row>
    <row r="365">
      <c r="A365" s="206"/>
      <c r="B365" s="351"/>
      <c r="C365" s="596" t="s">
        <v>1802</v>
      </c>
      <c r="D365" s="197"/>
      <c r="E365" s="398">
        <v>25000.0</v>
      </c>
      <c r="F365" s="203"/>
      <c r="G365" s="204"/>
    </row>
    <row r="366">
      <c r="A366" s="206"/>
      <c r="B366" s="351"/>
      <c r="C366" s="71" t="s">
        <v>1858</v>
      </c>
      <c r="D366" s="197"/>
      <c r="E366" s="398">
        <v>20000.0</v>
      </c>
      <c r="F366" s="203"/>
      <c r="G366" s="204"/>
    </row>
    <row r="367">
      <c r="A367" s="206"/>
      <c r="B367" s="498">
        <v>46148.0</v>
      </c>
      <c r="C367" s="71" t="s">
        <v>2043</v>
      </c>
      <c r="D367" s="197" t="s">
        <v>747</v>
      </c>
      <c r="E367" s="398">
        <v>75000.0</v>
      </c>
      <c r="F367" s="197" t="s">
        <v>1860</v>
      </c>
      <c r="G367" s="204"/>
    </row>
    <row r="368">
      <c r="A368" s="206"/>
      <c r="B368" s="351"/>
      <c r="C368" s="283" t="s">
        <v>2084</v>
      </c>
      <c r="D368" s="197" t="s">
        <v>476</v>
      </c>
      <c r="E368" s="398">
        <v>60000.0</v>
      </c>
      <c r="F368" s="197" t="s">
        <v>1860</v>
      </c>
      <c r="G368" s="512" t="s">
        <v>2085</v>
      </c>
    </row>
    <row r="369">
      <c r="A369" s="206"/>
      <c r="B369" s="351"/>
      <c r="C369" s="283" t="s">
        <v>2087</v>
      </c>
      <c r="D369" s="197" t="s">
        <v>476</v>
      </c>
      <c r="E369" s="398">
        <v>45000.0</v>
      </c>
      <c r="F369" s="197" t="s">
        <v>1860</v>
      </c>
      <c r="G369" s="204"/>
    </row>
    <row r="370">
      <c r="A370" s="206"/>
      <c r="B370" s="351"/>
      <c r="C370" s="283" t="s">
        <v>1859</v>
      </c>
      <c r="D370" s="197" t="s">
        <v>476</v>
      </c>
      <c r="E370" s="398">
        <v>170000.0</v>
      </c>
      <c r="F370" s="197" t="s">
        <v>1860</v>
      </c>
      <c r="G370" s="204"/>
    </row>
    <row r="371">
      <c r="A371" s="206"/>
      <c r="B371" s="498">
        <v>46148.0</v>
      </c>
      <c r="C371" s="71" t="s">
        <v>2089</v>
      </c>
      <c r="D371" s="197" t="s">
        <v>476</v>
      </c>
      <c r="E371" s="398">
        <v>80000.0</v>
      </c>
      <c r="F371" s="197"/>
      <c r="G371" s="204"/>
    </row>
    <row r="372">
      <c r="A372" s="206"/>
      <c r="B372" s="498"/>
      <c r="C372" s="71" t="s">
        <v>2090</v>
      </c>
      <c r="D372" s="197" t="s">
        <v>476</v>
      </c>
      <c r="E372" s="398">
        <v>90000.0</v>
      </c>
      <c r="F372" s="197"/>
      <c r="G372" s="204"/>
    </row>
    <row r="373">
      <c r="A373" s="206"/>
      <c r="B373" s="498"/>
      <c r="C373" s="71" t="s">
        <v>2092</v>
      </c>
      <c r="D373" s="197" t="s">
        <v>476</v>
      </c>
      <c r="E373" s="398">
        <v>20000.0</v>
      </c>
      <c r="F373" s="197"/>
      <c r="G373" s="204"/>
    </row>
    <row r="374">
      <c r="A374" s="206"/>
      <c r="B374" s="498"/>
      <c r="C374" s="71" t="s">
        <v>2093</v>
      </c>
      <c r="D374" s="197" t="s">
        <v>482</v>
      </c>
      <c r="E374" s="398">
        <v>80000.0</v>
      </c>
      <c r="F374" s="197"/>
      <c r="G374" s="204"/>
    </row>
    <row r="375">
      <c r="A375" s="206"/>
      <c r="B375" s="351"/>
      <c r="C375" s="71" t="s">
        <v>2094</v>
      </c>
      <c r="D375" s="197"/>
      <c r="E375" s="398">
        <v>50000.0</v>
      </c>
      <c r="F375" s="197"/>
      <c r="G375" s="204"/>
    </row>
    <row r="376">
      <c r="A376" s="206"/>
      <c r="B376" s="351"/>
      <c r="C376" s="71" t="s">
        <v>2095</v>
      </c>
      <c r="D376" s="197"/>
      <c r="E376" s="398">
        <v>50000.0</v>
      </c>
      <c r="F376" s="197"/>
      <c r="G376" s="204"/>
    </row>
    <row r="377">
      <c r="A377" s="206"/>
      <c r="B377" s="351"/>
      <c r="C377" s="71" t="s">
        <v>2096</v>
      </c>
      <c r="D377" s="197"/>
      <c r="E377" s="398">
        <v>70000.0</v>
      </c>
      <c r="F377" s="197"/>
      <c r="G377" s="204"/>
    </row>
    <row r="378">
      <c r="A378" s="206"/>
      <c r="B378" s="351"/>
      <c r="C378" s="71" t="s">
        <v>2098</v>
      </c>
      <c r="D378" s="197"/>
      <c r="E378" s="398">
        <v>100000.0</v>
      </c>
      <c r="F378" s="197"/>
      <c r="G378" s="204"/>
    </row>
    <row r="379">
      <c r="A379" s="206"/>
      <c r="B379" s="498">
        <v>46149.0</v>
      </c>
      <c r="C379" s="71" t="s">
        <v>2099</v>
      </c>
      <c r="D379" s="197"/>
      <c r="E379" s="398">
        <v>145000.0</v>
      </c>
      <c r="F379" s="197" t="s">
        <v>2100</v>
      </c>
      <c r="G379" s="204"/>
    </row>
    <row r="380">
      <c r="A380" s="206"/>
      <c r="B380" s="498">
        <v>46150.0</v>
      </c>
      <c r="C380" s="71" t="s">
        <v>1145</v>
      </c>
      <c r="D380" s="197"/>
      <c r="E380" s="398">
        <v>50000.0</v>
      </c>
      <c r="F380" s="200" t="s">
        <v>1447</v>
      </c>
      <c r="G380" s="204"/>
    </row>
    <row r="381">
      <c r="A381" s="206"/>
      <c r="B381" s="351"/>
      <c r="C381" s="71" t="s">
        <v>2102</v>
      </c>
      <c r="D381" s="197"/>
      <c r="E381" s="398">
        <v>150000.0</v>
      </c>
      <c r="F381" s="200" t="s">
        <v>1447</v>
      </c>
      <c r="G381" s="204"/>
    </row>
    <row r="382">
      <c r="A382" s="206"/>
      <c r="B382" s="351"/>
      <c r="C382" s="71" t="s">
        <v>2104</v>
      </c>
      <c r="D382" s="197"/>
      <c r="E382" s="398">
        <v>50000.0</v>
      </c>
      <c r="F382" s="200" t="s">
        <v>1447</v>
      </c>
      <c r="G382" s="204"/>
    </row>
    <row r="383">
      <c r="A383" s="206"/>
      <c r="B383" s="351"/>
      <c r="C383" s="71" t="s">
        <v>2106</v>
      </c>
      <c r="D383" s="197"/>
      <c r="E383" s="398">
        <v>100000.0</v>
      </c>
      <c r="F383" s="200" t="s">
        <v>1447</v>
      </c>
      <c r="G383" s="204"/>
    </row>
    <row r="384">
      <c r="A384" s="206"/>
      <c r="B384" s="351"/>
      <c r="C384" s="283" t="s">
        <v>2108</v>
      </c>
      <c r="D384" s="197"/>
      <c r="E384" s="398">
        <v>30000.0</v>
      </c>
      <c r="F384" s="200" t="s">
        <v>1447</v>
      </c>
      <c r="G384" s="512" t="s">
        <v>2109</v>
      </c>
    </row>
    <row r="385">
      <c r="A385" s="206"/>
      <c r="B385" s="498">
        <v>46151.0</v>
      </c>
      <c r="C385" s="71" t="s">
        <v>1698</v>
      </c>
      <c r="D385" s="197"/>
      <c r="E385" s="398">
        <v>55000.0</v>
      </c>
      <c r="F385" s="200" t="s">
        <v>1447</v>
      </c>
      <c r="G385" s="92"/>
    </row>
    <row r="386">
      <c r="A386" s="206"/>
      <c r="B386" s="498">
        <v>46153.0</v>
      </c>
      <c r="C386" s="71" t="s">
        <v>2111</v>
      </c>
      <c r="D386" s="197" t="s">
        <v>476</v>
      </c>
      <c r="E386" s="398">
        <v>450000.0</v>
      </c>
      <c r="F386" s="200" t="s">
        <v>1447</v>
      </c>
      <c r="G386" s="92"/>
    </row>
    <row r="387">
      <c r="A387" s="206"/>
      <c r="B387" s="195"/>
      <c r="C387" s="71" t="s">
        <v>1053</v>
      </c>
      <c r="D387" s="197" t="s">
        <v>476</v>
      </c>
      <c r="E387" s="398">
        <v>70000.0</v>
      </c>
      <c r="F387" s="200" t="s">
        <v>1447</v>
      </c>
      <c r="G387" s="92"/>
    </row>
    <row r="388">
      <c r="A388" s="206"/>
      <c r="B388" s="195"/>
      <c r="C388" s="71" t="s">
        <v>927</v>
      </c>
      <c r="D388" s="197" t="s">
        <v>449</v>
      </c>
      <c r="E388" s="398">
        <v>90000.0</v>
      </c>
      <c r="F388" s="200" t="s">
        <v>1447</v>
      </c>
      <c r="G388" s="92"/>
    </row>
    <row r="389">
      <c r="A389" s="206"/>
      <c r="B389" s="195"/>
      <c r="C389" s="71" t="s">
        <v>824</v>
      </c>
      <c r="D389" s="197" t="s">
        <v>476</v>
      </c>
      <c r="E389" s="398">
        <v>70000.0</v>
      </c>
      <c r="F389" s="200" t="s">
        <v>1447</v>
      </c>
      <c r="G389" s="92"/>
    </row>
    <row r="390">
      <c r="A390" s="206"/>
      <c r="B390" s="195"/>
      <c r="C390" s="71" t="s">
        <v>2115</v>
      </c>
      <c r="D390" s="197"/>
      <c r="E390" s="398">
        <v>200000.0</v>
      </c>
      <c r="F390" s="200" t="s">
        <v>1447</v>
      </c>
      <c r="G390" s="92"/>
    </row>
    <row r="391">
      <c r="A391" s="206"/>
      <c r="B391" s="498">
        <v>46162.0</v>
      </c>
      <c r="C391" s="71" t="s">
        <v>2116</v>
      </c>
      <c r="D391" s="197" t="s">
        <v>449</v>
      </c>
      <c r="E391" s="398">
        <v>2000000.0</v>
      </c>
      <c r="F391" s="204"/>
      <c r="G391" s="92"/>
    </row>
    <row r="392">
      <c r="A392" s="206"/>
      <c r="B392" s="195"/>
      <c r="C392" s="71" t="s">
        <v>2117</v>
      </c>
      <c r="D392" s="197" t="s">
        <v>2118</v>
      </c>
      <c r="E392" s="398">
        <v>770000.0</v>
      </c>
      <c r="F392" s="204"/>
      <c r="G392" s="92"/>
    </row>
    <row r="393">
      <c r="A393" s="206"/>
      <c r="B393" s="195"/>
      <c r="C393" s="71" t="s">
        <v>2119</v>
      </c>
      <c r="D393" s="197" t="s">
        <v>2118</v>
      </c>
      <c r="E393" s="398">
        <v>350000.0</v>
      </c>
      <c r="F393" s="204"/>
      <c r="G393" s="92"/>
    </row>
    <row r="394">
      <c r="A394" s="206"/>
      <c r="B394" s="195"/>
      <c r="C394" s="71" t="s">
        <v>2120</v>
      </c>
      <c r="D394" s="197" t="s">
        <v>2118</v>
      </c>
      <c r="E394" s="398">
        <v>525000.0</v>
      </c>
      <c r="F394" s="204"/>
      <c r="G394" s="92"/>
    </row>
    <row r="395">
      <c r="A395" s="206"/>
      <c r="B395" s="195"/>
      <c r="C395" s="71" t="s">
        <v>2121</v>
      </c>
      <c r="D395" s="197" t="s">
        <v>2118</v>
      </c>
      <c r="E395" s="398">
        <v>150000.0</v>
      </c>
      <c r="F395" s="204"/>
      <c r="G395" s="92"/>
    </row>
    <row r="396">
      <c r="A396" s="206"/>
      <c r="B396" s="195"/>
      <c r="C396" s="71" t="s">
        <v>2123</v>
      </c>
      <c r="D396" s="197" t="s">
        <v>476</v>
      </c>
      <c r="E396" s="398">
        <v>150000.0</v>
      </c>
      <c r="F396" s="204"/>
      <c r="G396" s="92"/>
    </row>
    <row r="397">
      <c r="A397" s="206"/>
      <c r="B397" s="195"/>
      <c r="C397" s="71" t="s">
        <v>2124</v>
      </c>
      <c r="D397" s="197" t="s">
        <v>476</v>
      </c>
      <c r="E397" s="398">
        <v>35000.0</v>
      </c>
      <c r="F397" s="204"/>
      <c r="G397" s="92"/>
    </row>
    <row r="398">
      <c r="A398" s="206"/>
      <c r="B398" s="195"/>
      <c r="C398" s="71" t="s">
        <v>2125</v>
      </c>
      <c r="D398" s="197" t="s">
        <v>476</v>
      </c>
      <c r="E398" s="398">
        <v>325000.0</v>
      </c>
      <c r="F398" s="204"/>
      <c r="G398" s="92"/>
    </row>
    <row r="399">
      <c r="A399" s="206"/>
      <c r="B399" s="195"/>
      <c r="C399" s="71" t="s">
        <v>2126</v>
      </c>
      <c r="D399" s="197" t="s">
        <v>476</v>
      </c>
      <c r="E399" s="398">
        <v>575000.0</v>
      </c>
      <c r="F399" s="204"/>
      <c r="G399" s="92"/>
    </row>
    <row r="400">
      <c r="A400" s="206"/>
      <c r="B400" s="498">
        <v>46163.0</v>
      </c>
      <c r="C400" s="71" t="s">
        <v>2127</v>
      </c>
      <c r="D400" s="197" t="s">
        <v>476</v>
      </c>
      <c r="E400" s="398">
        <v>1000000.0</v>
      </c>
      <c r="F400" s="379" t="s">
        <v>582</v>
      </c>
      <c r="G400" s="92"/>
    </row>
    <row r="401">
      <c r="A401" s="206"/>
      <c r="B401" s="195"/>
      <c r="C401" s="71" t="s">
        <v>2128</v>
      </c>
      <c r="D401" s="197" t="s">
        <v>2129</v>
      </c>
      <c r="E401" s="398">
        <v>600000.0</v>
      </c>
      <c r="F401" s="268" t="s">
        <v>582</v>
      </c>
      <c r="G401" s="92"/>
    </row>
    <row r="402">
      <c r="A402" s="206"/>
      <c r="B402" s="195"/>
      <c r="C402" s="71" t="s">
        <v>2130</v>
      </c>
      <c r="D402" s="197" t="s">
        <v>476</v>
      </c>
      <c r="E402" s="398">
        <v>200000.0</v>
      </c>
      <c r="F402" s="268" t="s">
        <v>582</v>
      </c>
      <c r="G402" s="92"/>
    </row>
    <row r="403">
      <c r="A403" s="206"/>
      <c r="B403" s="195"/>
      <c r="C403" s="71" t="s">
        <v>2131</v>
      </c>
      <c r="D403" s="197" t="s">
        <v>476</v>
      </c>
      <c r="E403" s="398">
        <v>600000.0</v>
      </c>
      <c r="F403" s="268" t="s">
        <v>582</v>
      </c>
      <c r="G403" s="92"/>
    </row>
    <row r="404">
      <c r="A404" s="206"/>
      <c r="B404" s="195"/>
      <c r="C404" s="71" t="s">
        <v>2132</v>
      </c>
      <c r="D404" s="197" t="s">
        <v>476</v>
      </c>
      <c r="E404" s="398">
        <v>600000.0</v>
      </c>
      <c r="F404" s="268" t="s">
        <v>582</v>
      </c>
      <c r="G404" s="92"/>
    </row>
    <row r="405">
      <c r="A405" s="206"/>
      <c r="B405" s="195"/>
      <c r="C405" s="71" t="s">
        <v>2133</v>
      </c>
      <c r="D405" s="197" t="s">
        <v>685</v>
      </c>
      <c r="E405" s="398">
        <v>280000.0</v>
      </c>
      <c r="F405" s="268" t="s">
        <v>582</v>
      </c>
      <c r="G405" s="92"/>
    </row>
    <row r="406">
      <c r="A406" s="206"/>
      <c r="B406" s="195"/>
      <c r="C406" s="542" t="s">
        <v>2134</v>
      </c>
      <c r="D406" s="197" t="s">
        <v>747</v>
      </c>
      <c r="E406" s="398">
        <v>525000.0</v>
      </c>
      <c r="F406" s="268" t="s">
        <v>582</v>
      </c>
      <c r="G406" s="293" t="s">
        <v>2135</v>
      </c>
    </row>
    <row r="407">
      <c r="A407" s="206"/>
      <c r="B407" s="195"/>
      <c r="C407" s="542" t="s">
        <v>2136</v>
      </c>
      <c r="D407" s="197" t="s">
        <v>747</v>
      </c>
      <c r="E407" s="398">
        <v>215000.0</v>
      </c>
      <c r="F407" s="268" t="s">
        <v>582</v>
      </c>
      <c r="G407" s="92"/>
    </row>
    <row r="408">
      <c r="A408" s="206"/>
      <c r="B408" s="195"/>
      <c r="C408" s="542" t="s">
        <v>1641</v>
      </c>
      <c r="D408" s="197" t="s">
        <v>476</v>
      </c>
      <c r="E408" s="398">
        <v>185000.0</v>
      </c>
      <c r="F408" s="268" t="s">
        <v>582</v>
      </c>
      <c r="G408" s="92"/>
    </row>
    <row r="409">
      <c r="A409" s="206"/>
      <c r="B409" s="195"/>
      <c r="C409" s="71" t="s">
        <v>2137</v>
      </c>
      <c r="D409" s="197" t="s">
        <v>482</v>
      </c>
      <c r="E409" s="398">
        <v>120000.0</v>
      </c>
      <c r="F409" s="268" t="s">
        <v>582</v>
      </c>
      <c r="G409" s="92"/>
    </row>
    <row r="410">
      <c r="A410" s="206"/>
      <c r="B410" s="195"/>
      <c r="C410" s="71" t="s">
        <v>1937</v>
      </c>
      <c r="D410" s="197" t="s">
        <v>476</v>
      </c>
      <c r="E410" s="398">
        <v>45000.0</v>
      </c>
      <c r="F410" s="268" t="s">
        <v>582</v>
      </c>
      <c r="G410" s="92"/>
    </row>
    <row r="411">
      <c r="A411" s="206"/>
      <c r="B411" s="195"/>
      <c r="C411" s="71" t="s">
        <v>2138</v>
      </c>
      <c r="D411" s="197" t="s">
        <v>476</v>
      </c>
      <c r="E411" s="398">
        <v>125000.0</v>
      </c>
      <c r="F411" s="268" t="s">
        <v>582</v>
      </c>
      <c r="G411" s="92"/>
    </row>
    <row r="412">
      <c r="A412" s="206"/>
      <c r="B412" s="195"/>
      <c r="C412" s="71" t="s">
        <v>2140</v>
      </c>
      <c r="D412" s="197" t="s">
        <v>476</v>
      </c>
      <c r="E412" s="398">
        <v>50000.0</v>
      </c>
      <c r="F412" s="268" t="s">
        <v>582</v>
      </c>
      <c r="G412" s="92"/>
    </row>
    <row r="413">
      <c r="A413" s="206"/>
      <c r="B413" s="498">
        <v>46165.0</v>
      </c>
      <c r="C413" s="71" t="s">
        <v>2142</v>
      </c>
      <c r="D413" s="197" t="s">
        <v>476</v>
      </c>
      <c r="E413" s="398">
        <v>45000.0</v>
      </c>
      <c r="F413" s="200" t="s">
        <v>2143</v>
      </c>
      <c r="G413" s="92"/>
    </row>
    <row r="414">
      <c r="A414" s="206"/>
      <c r="B414" s="195"/>
      <c r="C414" s="71" t="s">
        <v>2048</v>
      </c>
      <c r="D414" s="197" t="s">
        <v>476</v>
      </c>
      <c r="E414" s="398">
        <v>25000.0</v>
      </c>
      <c r="F414" s="200" t="s">
        <v>2143</v>
      </c>
      <c r="G414" s="92"/>
    </row>
    <row r="415">
      <c r="A415" s="206"/>
      <c r="B415" s="498">
        <v>46165.0</v>
      </c>
      <c r="C415" s="71" t="s">
        <v>1999</v>
      </c>
      <c r="D415" s="197" t="s">
        <v>476</v>
      </c>
      <c r="E415" s="398">
        <v>70000.0</v>
      </c>
      <c r="F415" s="200" t="s">
        <v>2145</v>
      </c>
      <c r="G415" s="92"/>
    </row>
    <row r="416">
      <c r="A416" s="206"/>
      <c r="B416" s="195"/>
      <c r="C416" s="71" t="s">
        <v>2146</v>
      </c>
      <c r="D416" s="197" t="s">
        <v>449</v>
      </c>
      <c r="E416" s="398">
        <v>10000.0</v>
      </c>
      <c r="F416" s="200" t="s">
        <v>2145</v>
      </c>
      <c r="G416" s="92"/>
    </row>
    <row r="417">
      <c r="A417" s="206"/>
      <c r="B417" s="498">
        <v>46165.0</v>
      </c>
      <c r="C417" s="71" t="s">
        <v>2147</v>
      </c>
      <c r="D417" s="197"/>
      <c r="E417" s="398">
        <v>6000000.0</v>
      </c>
      <c r="F417" s="200" t="s">
        <v>1768</v>
      </c>
      <c r="G417" s="92"/>
    </row>
    <row r="418">
      <c r="A418" s="206"/>
      <c r="B418" s="195"/>
      <c r="C418" s="71" t="s">
        <v>2149</v>
      </c>
      <c r="D418" s="197"/>
      <c r="E418" s="398">
        <v>400000.0</v>
      </c>
      <c r="F418" s="200" t="s">
        <v>1768</v>
      </c>
      <c r="G418" s="92"/>
    </row>
    <row r="419">
      <c r="A419" s="206"/>
      <c r="B419" s="195"/>
      <c r="C419" s="71" t="s">
        <v>2150</v>
      </c>
      <c r="D419" s="197"/>
      <c r="E419" s="398">
        <v>400000.0</v>
      </c>
      <c r="F419" s="200" t="s">
        <v>1768</v>
      </c>
      <c r="G419" s="92"/>
    </row>
    <row r="420">
      <c r="A420" s="206"/>
      <c r="B420" s="195"/>
      <c r="C420" s="71" t="s">
        <v>2151</v>
      </c>
      <c r="D420" s="197"/>
      <c r="E420" s="398">
        <v>300000.0</v>
      </c>
      <c r="F420" s="200" t="s">
        <v>1768</v>
      </c>
      <c r="G420" s="92"/>
    </row>
    <row r="421">
      <c r="A421" s="206"/>
      <c r="B421" s="195"/>
      <c r="C421" s="71" t="s">
        <v>2153</v>
      </c>
      <c r="D421" s="197"/>
      <c r="E421" s="398">
        <v>150000.0</v>
      </c>
      <c r="F421" s="200" t="s">
        <v>1768</v>
      </c>
      <c r="G421" s="92"/>
    </row>
    <row r="422">
      <c r="A422" s="206"/>
      <c r="B422" s="195"/>
      <c r="C422" s="71" t="s">
        <v>2154</v>
      </c>
      <c r="D422" s="197" t="s">
        <v>1018</v>
      </c>
      <c r="E422" s="398">
        <v>80000.0</v>
      </c>
      <c r="F422" s="200" t="s">
        <v>1768</v>
      </c>
      <c r="G422" s="92"/>
    </row>
    <row r="423">
      <c r="A423" s="206"/>
      <c r="B423" s="195"/>
      <c r="C423" s="71" t="s">
        <v>2155</v>
      </c>
      <c r="D423" s="197" t="s">
        <v>476</v>
      </c>
      <c r="E423" s="398">
        <v>100000.0</v>
      </c>
      <c r="F423" s="200" t="s">
        <v>1768</v>
      </c>
      <c r="G423" s="92"/>
    </row>
    <row r="424">
      <c r="A424" s="206"/>
      <c r="B424" s="195"/>
      <c r="C424" s="71" t="s">
        <v>2156</v>
      </c>
      <c r="D424" s="197"/>
      <c r="E424" s="398">
        <v>50000.0</v>
      </c>
      <c r="F424" s="200" t="s">
        <v>1768</v>
      </c>
      <c r="G424" s="92"/>
    </row>
    <row r="425">
      <c r="A425" s="326"/>
      <c r="B425" s="625">
        <v>46167.0</v>
      </c>
      <c r="C425" s="327" t="s">
        <v>2157</v>
      </c>
      <c r="D425" s="330"/>
      <c r="E425" s="404">
        <v>120000.0</v>
      </c>
      <c r="F425" s="626" t="s">
        <v>1800</v>
      </c>
      <c r="G425" s="92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</row>
    <row r="426">
      <c r="A426" s="326"/>
      <c r="B426" s="625">
        <v>46167.0</v>
      </c>
      <c r="C426" s="327" t="s">
        <v>2158</v>
      </c>
      <c r="D426" s="330"/>
      <c r="E426" s="404">
        <v>60000.0</v>
      </c>
      <c r="F426" s="330"/>
      <c r="G426" s="34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</row>
    <row r="427">
      <c r="A427" s="326"/>
      <c r="B427" s="628"/>
      <c r="C427" s="327" t="s">
        <v>2159</v>
      </c>
      <c r="D427" s="330"/>
      <c r="E427" s="404">
        <v>20000.0</v>
      </c>
      <c r="F427" s="330"/>
      <c r="G427" s="34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</row>
    <row r="428">
      <c r="A428" s="326"/>
      <c r="B428" s="628"/>
      <c r="C428" s="590" t="s">
        <v>716</v>
      </c>
      <c r="D428" s="330"/>
      <c r="E428" s="404">
        <v>50000.0</v>
      </c>
      <c r="F428" s="330"/>
      <c r="G428" s="34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</row>
    <row r="429">
      <c r="A429" s="206"/>
      <c r="B429" s="195">
        <v>46171.0</v>
      </c>
      <c r="C429" s="71" t="s">
        <v>2164</v>
      </c>
      <c r="D429" s="197"/>
      <c r="E429" s="398">
        <v>650000.0</v>
      </c>
      <c r="F429" s="200" t="s">
        <v>2166</v>
      </c>
      <c r="G429" s="208" t="s">
        <v>2167</v>
      </c>
    </row>
    <row r="430">
      <c r="A430" s="206"/>
      <c r="B430" s="195"/>
      <c r="C430" s="71" t="s">
        <v>2168</v>
      </c>
      <c r="D430" s="197"/>
      <c r="E430" s="398">
        <v>25000.0</v>
      </c>
      <c r="F430" s="200" t="s">
        <v>2166</v>
      </c>
      <c r="G430" s="92"/>
    </row>
    <row r="431">
      <c r="A431" s="206"/>
      <c r="B431" s="351">
        <v>46173.0</v>
      </c>
      <c r="C431" s="205" t="s">
        <v>1739</v>
      </c>
      <c r="D431" s="197"/>
      <c r="E431" s="398">
        <v>400000.0</v>
      </c>
      <c r="F431" s="200"/>
      <c r="G431" s="357"/>
      <c r="H431" s="358"/>
    </row>
    <row r="432">
      <c r="A432" s="245"/>
      <c r="B432" s="246"/>
      <c r="C432" s="247"/>
      <c r="D432" s="248"/>
      <c r="E432" s="249"/>
      <c r="F432" s="288"/>
      <c r="G432" s="252"/>
      <c r="H432" s="254"/>
      <c r="I432" s="254"/>
      <c r="J432" s="254"/>
      <c r="K432" s="254"/>
      <c r="L432" s="254"/>
      <c r="M432" s="254"/>
      <c r="N432" s="254"/>
      <c r="O432" s="254"/>
      <c r="P432" s="254"/>
      <c r="Q432" s="254"/>
      <c r="R432" s="254"/>
      <c r="S432" s="254"/>
      <c r="T432" s="254"/>
      <c r="U432" s="254"/>
      <c r="V432" s="254"/>
      <c r="W432" s="254"/>
      <c r="X432" s="254"/>
      <c r="Y432" s="254"/>
      <c r="Z432" s="254"/>
      <c r="AA432" s="254"/>
      <c r="AB432" s="254"/>
      <c r="AC432" s="254"/>
      <c r="AD432" s="254"/>
      <c r="AE432" s="254"/>
      <c r="AF432" s="254"/>
      <c r="AG432" s="254"/>
      <c r="AH432" s="254"/>
      <c r="AI432" s="254"/>
      <c r="AJ432" s="254"/>
      <c r="AK432" s="254"/>
      <c r="AL432" s="254"/>
      <c r="AM432" s="254"/>
      <c r="AN432" s="254"/>
      <c r="AO432" s="254"/>
      <c r="AP432" s="254"/>
      <c r="AQ432" s="254"/>
      <c r="AR432" s="254"/>
      <c r="AS432" s="254"/>
      <c r="AT432" s="254"/>
    </row>
    <row r="433">
      <c r="A433" s="92"/>
      <c r="B433" s="195">
        <v>46174.0</v>
      </c>
      <c r="C433" s="200" t="s">
        <v>2169</v>
      </c>
      <c r="D433" s="239"/>
      <c r="E433" s="629">
        <v>150000.0</v>
      </c>
      <c r="F433" s="200" t="s">
        <v>1768</v>
      </c>
      <c r="G433" s="92"/>
    </row>
    <row r="434">
      <c r="A434" s="92"/>
      <c r="B434" s="92"/>
      <c r="C434" s="200" t="s">
        <v>2170</v>
      </c>
      <c r="D434" s="239" t="s">
        <v>964</v>
      </c>
      <c r="E434" s="629">
        <v>120000.0</v>
      </c>
      <c r="F434" s="200" t="s">
        <v>1768</v>
      </c>
      <c r="G434" s="92"/>
    </row>
    <row r="435">
      <c r="A435" s="92"/>
      <c r="B435" s="92"/>
      <c r="C435" s="200" t="s">
        <v>2171</v>
      </c>
      <c r="D435" s="239"/>
      <c r="E435" s="629">
        <v>145000.0</v>
      </c>
      <c r="F435" s="200" t="s">
        <v>1768</v>
      </c>
      <c r="G435" s="92"/>
    </row>
    <row r="436">
      <c r="A436" s="92"/>
      <c r="B436" s="195">
        <v>46177.0</v>
      </c>
      <c r="C436" s="200" t="s">
        <v>1798</v>
      </c>
      <c r="D436" s="239"/>
      <c r="E436" s="629">
        <v>60000.0</v>
      </c>
      <c r="F436" s="626" t="s">
        <v>1800</v>
      </c>
      <c r="G436" s="92"/>
    </row>
    <row r="437">
      <c r="A437" s="92"/>
      <c r="B437" s="195"/>
      <c r="C437" s="200" t="s">
        <v>1858</v>
      </c>
      <c r="D437" s="239"/>
      <c r="E437" s="629">
        <v>25000.0</v>
      </c>
      <c r="F437" s="626" t="s">
        <v>1800</v>
      </c>
      <c r="G437" s="92"/>
    </row>
    <row r="438">
      <c r="A438" s="92"/>
      <c r="B438" s="195">
        <v>46177.0</v>
      </c>
      <c r="C438" s="200" t="s">
        <v>2172</v>
      </c>
      <c r="D438" s="239"/>
      <c r="E438" s="629">
        <v>200000.0</v>
      </c>
      <c r="F438" s="200" t="s">
        <v>2020</v>
      </c>
      <c r="G438" s="92"/>
    </row>
    <row r="439">
      <c r="A439" s="92"/>
      <c r="B439" s="195">
        <v>46179.0</v>
      </c>
      <c r="C439" s="200" t="s">
        <v>2173</v>
      </c>
      <c r="D439" s="92"/>
      <c r="E439" s="629">
        <v>100000.0</v>
      </c>
      <c r="F439" s="200" t="s">
        <v>2174</v>
      </c>
      <c r="G439" s="208" t="s">
        <v>2175</v>
      </c>
    </row>
    <row r="440">
      <c r="A440" s="92"/>
      <c r="B440" s="195">
        <v>46179.0</v>
      </c>
      <c r="C440" s="200" t="s">
        <v>2176</v>
      </c>
      <c r="D440" s="92"/>
      <c r="E440" s="629">
        <v>200000.0</v>
      </c>
      <c r="F440" s="200" t="s">
        <v>2177</v>
      </c>
      <c r="G440" s="208" t="s">
        <v>2178</v>
      </c>
    </row>
    <row r="441">
      <c r="A441" s="92"/>
      <c r="B441" s="195">
        <v>46180.0</v>
      </c>
      <c r="C441" s="200" t="s">
        <v>2180</v>
      </c>
      <c r="D441" s="239" t="s">
        <v>1022</v>
      </c>
      <c r="E441" s="629">
        <v>650000.0</v>
      </c>
      <c r="F441" s="200" t="s">
        <v>2181</v>
      </c>
      <c r="G441" s="208"/>
    </row>
    <row r="442">
      <c r="A442" s="92"/>
      <c r="B442" s="92"/>
      <c r="C442" s="200" t="s">
        <v>717</v>
      </c>
      <c r="D442" s="239" t="s">
        <v>476</v>
      </c>
      <c r="E442" s="629">
        <v>30000.0</v>
      </c>
      <c r="F442" s="200" t="s">
        <v>2181</v>
      </c>
      <c r="G442" s="208"/>
    </row>
    <row r="443">
      <c r="A443" s="92"/>
      <c r="B443" s="92"/>
      <c r="C443" s="200" t="s">
        <v>2184</v>
      </c>
      <c r="D443" s="239" t="s">
        <v>449</v>
      </c>
      <c r="E443" s="629">
        <v>40000.0</v>
      </c>
      <c r="F443" s="200" t="s">
        <v>2181</v>
      </c>
      <c r="G443" s="208"/>
    </row>
    <row r="444">
      <c r="A444" s="92"/>
      <c r="B444" s="195">
        <v>46182.0</v>
      </c>
      <c r="C444" s="631" t="s">
        <v>1103</v>
      </c>
      <c r="D444" s="239" t="s">
        <v>1022</v>
      </c>
      <c r="E444" s="629">
        <v>45000.0</v>
      </c>
      <c r="F444" s="200" t="s">
        <v>2186</v>
      </c>
      <c r="G444" s="512" t="s">
        <v>2187</v>
      </c>
    </row>
    <row r="445">
      <c r="A445" s="92"/>
      <c r="B445" s="92"/>
      <c r="C445" s="200" t="s">
        <v>2188</v>
      </c>
      <c r="D445" s="239" t="s">
        <v>2189</v>
      </c>
      <c r="E445" s="629">
        <v>870000.0</v>
      </c>
      <c r="F445" s="200" t="s">
        <v>1860</v>
      </c>
      <c r="G445" s="293" t="s">
        <v>2190</v>
      </c>
    </row>
    <row r="446">
      <c r="A446" s="92"/>
      <c r="B446" s="195">
        <v>46182.0</v>
      </c>
      <c r="C446" s="633" t="s">
        <v>2191</v>
      </c>
      <c r="D446" s="239"/>
      <c r="E446" s="629">
        <v>1750000.0</v>
      </c>
      <c r="F446" s="200" t="s">
        <v>1532</v>
      </c>
      <c r="G446" s="208" t="s">
        <v>2192</v>
      </c>
    </row>
    <row r="447">
      <c r="A447" s="92"/>
      <c r="B447" s="92"/>
      <c r="C447" s="200" t="s">
        <v>2193</v>
      </c>
      <c r="D447" s="239"/>
      <c r="E447" s="629">
        <v>250000.0</v>
      </c>
      <c r="F447" s="200" t="s">
        <v>1447</v>
      </c>
      <c r="G447" s="92"/>
    </row>
    <row r="448">
      <c r="A448" s="92"/>
      <c r="B448" s="195">
        <v>46183.0</v>
      </c>
      <c r="C448" s="200" t="s">
        <v>2194</v>
      </c>
      <c r="D448" s="239"/>
      <c r="E448" s="629">
        <v>50000.0</v>
      </c>
      <c r="F448" s="200" t="s">
        <v>2195</v>
      </c>
      <c r="G448" s="92"/>
    </row>
    <row r="449">
      <c r="A449" s="519"/>
      <c r="B449" s="351">
        <v>46188.0</v>
      </c>
      <c r="C449" s="403" t="s">
        <v>1865</v>
      </c>
      <c r="D449" s="520"/>
      <c r="E449" s="521">
        <v>122100.0</v>
      </c>
      <c r="F449" s="522"/>
      <c r="G449" s="604"/>
      <c r="H449" s="48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</row>
    <row r="450">
      <c r="A450" s="206"/>
      <c r="B450" s="351">
        <v>46188.0</v>
      </c>
      <c r="C450" s="205" t="s">
        <v>1866</v>
      </c>
      <c r="D450" s="197"/>
      <c r="E450" s="502">
        <v>166500.0</v>
      </c>
      <c r="F450" s="203"/>
      <c r="G450" s="204"/>
      <c r="H450" s="358"/>
    </row>
    <row r="451">
      <c r="A451" s="206"/>
      <c r="B451" s="351">
        <v>46189.0</v>
      </c>
      <c r="C451" s="542" t="s">
        <v>2196</v>
      </c>
      <c r="D451" s="239" t="s">
        <v>449</v>
      </c>
      <c r="E451" s="502">
        <v>200000.0</v>
      </c>
      <c r="F451" s="197" t="s">
        <v>1598</v>
      </c>
      <c r="G451" s="512" t="s">
        <v>2197</v>
      </c>
      <c r="H451" s="358"/>
    </row>
    <row r="452">
      <c r="A452" s="206"/>
      <c r="B452" s="351">
        <v>46189.0</v>
      </c>
      <c r="C452" s="71" t="s">
        <v>2198</v>
      </c>
      <c r="D452" s="197"/>
      <c r="E452" s="502">
        <v>100000.0</v>
      </c>
      <c r="F452" s="197" t="s">
        <v>1411</v>
      </c>
      <c r="G452" s="489"/>
      <c r="H452" s="358"/>
    </row>
    <row r="453">
      <c r="A453" s="206"/>
      <c r="B453" s="351">
        <v>46196.0</v>
      </c>
      <c r="C453" s="71" t="s">
        <v>2200</v>
      </c>
      <c r="D453" s="239" t="s">
        <v>1022</v>
      </c>
      <c r="E453" s="502">
        <v>45000.0</v>
      </c>
      <c r="F453" s="197" t="s">
        <v>1856</v>
      </c>
      <c r="G453" s="450" t="s">
        <v>2201</v>
      </c>
      <c r="H453" s="358"/>
    </row>
    <row r="454">
      <c r="A454" s="206"/>
      <c r="B454" s="351"/>
      <c r="C454" s="71" t="s">
        <v>2202</v>
      </c>
      <c r="D454" s="239" t="s">
        <v>1022</v>
      </c>
      <c r="E454" s="502">
        <v>25000.0</v>
      </c>
      <c r="F454" s="197" t="s">
        <v>1856</v>
      </c>
      <c r="G454" s="489"/>
      <c r="H454" s="358"/>
    </row>
    <row r="455">
      <c r="A455" s="206"/>
      <c r="B455" s="351"/>
      <c r="C455" s="71" t="s">
        <v>2203</v>
      </c>
      <c r="D455" s="239" t="s">
        <v>1022</v>
      </c>
      <c r="E455" s="502">
        <v>15000.0</v>
      </c>
      <c r="F455" s="197" t="s">
        <v>1856</v>
      </c>
      <c r="G455" s="489"/>
      <c r="H455" s="358"/>
    </row>
    <row r="456">
      <c r="A456" s="206"/>
      <c r="B456" s="351">
        <v>46203.0</v>
      </c>
      <c r="C456" s="205" t="s">
        <v>1814</v>
      </c>
      <c r="D456" s="197"/>
      <c r="E456" s="502">
        <v>400000.0</v>
      </c>
      <c r="F456" s="200"/>
      <c r="G456" s="357"/>
      <c r="H456" s="358"/>
    </row>
    <row r="457">
      <c r="A457" s="245"/>
      <c r="B457" s="246"/>
      <c r="C457" s="247"/>
      <c r="D457" s="248"/>
      <c r="E457" s="249"/>
      <c r="F457" s="288"/>
      <c r="G457" s="252"/>
      <c r="H457" s="254"/>
      <c r="I457" s="254"/>
      <c r="J457" s="254"/>
      <c r="K457" s="254"/>
      <c r="L457" s="254"/>
      <c r="M457" s="254"/>
      <c r="N457" s="254"/>
      <c r="O457" s="254"/>
      <c r="P457" s="254"/>
      <c r="Q457" s="254"/>
      <c r="R457" s="254"/>
      <c r="S457" s="254"/>
      <c r="T457" s="254"/>
      <c r="U457" s="254"/>
      <c r="V457" s="254"/>
      <c r="W457" s="254"/>
      <c r="X457" s="254"/>
      <c r="Y457" s="254"/>
      <c r="Z457" s="254"/>
      <c r="AA457" s="254"/>
      <c r="AB457" s="254"/>
      <c r="AC457" s="254"/>
      <c r="AD457" s="254"/>
      <c r="AE457" s="254"/>
      <c r="AF457" s="254"/>
      <c r="AG457" s="254"/>
      <c r="AH457" s="254"/>
      <c r="AI457" s="254"/>
      <c r="AJ457" s="254"/>
      <c r="AK457" s="254"/>
      <c r="AL457" s="254"/>
      <c r="AM457" s="254"/>
      <c r="AN457" s="254"/>
      <c r="AO457" s="254"/>
      <c r="AP457" s="254"/>
      <c r="AQ457" s="254"/>
      <c r="AR457" s="254"/>
      <c r="AS457" s="254"/>
      <c r="AT457" s="254"/>
    </row>
    <row r="458">
      <c r="A458" s="92"/>
      <c r="B458" s="195">
        <v>46205.0</v>
      </c>
      <c r="C458" s="200" t="s">
        <v>2205</v>
      </c>
      <c r="D458" s="239"/>
      <c r="E458" s="634">
        <v>195000.0</v>
      </c>
      <c r="F458" s="200" t="s">
        <v>2206</v>
      </c>
      <c r="G458" s="92"/>
    </row>
    <row r="459">
      <c r="A459" s="92"/>
      <c r="B459" s="195">
        <v>46206.0</v>
      </c>
      <c r="C459" s="200" t="s">
        <v>2208</v>
      </c>
      <c r="D459" s="239" t="s">
        <v>554</v>
      </c>
      <c r="E459" s="634">
        <v>100000.0</v>
      </c>
      <c r="F459" s="200" t="s">
        <v>1447</v>
      </c>
      <c r="G459" s="208" t="s">
        <v>2209</v>
      </c>
    </row>
    <row r="460">
      <c r="A460" s="92"/>
      <c r="B460" s="92"/>
      <c r="C460" s="200" t="s">
        <v>2210</v>
      </c>
      <c r="D460" s="239" t="s">
        <v>1022</v>
      </c>
      <c r="E460" s="634">
        <v>50000.0</v>
      </c>
      <c r="F460" s="200" t="s">
        <v>1447</v>
      </c>
      <c r="G460" s="92"/>
    </row>
    <row r="461">
      <c r="A461" s="92"/>
      <c r="B461" s="195">
        <v>46213.0</v>
      </c>
      <c r="C461" s="200" t="s">
        <v>2211</v>
      </c>
      <c r="D461" s="239"/>
      <c r="E461" s="634">
        <v>120000.0</v>
      </c>
      <c r="F461" s="200" t="s">
        <v>1996</v>
      </c>
      <c r="G461" s="208" t="s">
        <v>2212</v>
      </c>
    </row>
    <row r="462">
      <c r="A462" s="92"/>
      <c r="B462" s="195"/>
      <c r="C462" s="200" t="s">
        <v>2213</v>
      </c>
      <c r="D462" s="239"/>
      <c r="E462" s="634">
        <v>70000.0</v>
      </c>
      <c r="F462" s="200" t="s">
        <v>1996</v>
      </c>
      <c r="G462" s="92"/>
    </row>
    <row r="463">
      <c r="A463" s="92"/>
      <c r="B463" s="195"/>
      <c r="C463" s="200" t="s">
        <v>2214</v>
      </c>
      <c r="D463" s="239"/>
      <c r="E463" s="634">
        <v>30000.0</v>
      </c>
      <c r="F463" s="200" t="s">
        <v>1996</v>
      </c>
      <c r="G463" s="92"/>
    </row>
    <row r="464">
      <c r="A464" s="92"/>
      <c r="B464" s="195">
        <v>46216.0</v>
      </c>
      <c r="C464" s="200" t="s">
        <v>2215</v>
      </c>
      <c r="D464" s="239"/>
      <c r="E464" s="634">
        <v>175000.0</v>
      </c>
      <c r="F464" s="197" t="s">
        <v>2216</v>
      </c>
      <c r="G464" s="92"/>
    </row>
    <row r="465">
      <c r="A465" s="326"/>
      <c r="B465" s="351">
        <v>46218.0</v>
      </c>
      <c r="C465" s="403" t="s">
        <v>1914</v>
      </c>
      <c r="D465" s="330"/>
      <c r="E465" s="635">
        <v>122100.0</v>
      </c>
      <c r="F465" s="330"/>
      <c r="G465" s="407"/>
      <c r="H465" s="48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</row>
    <row r="466">
      <c r="A466" s="206"/>
      <c r="B466" s="351">
        <v>46218.0</v>
      </c>
      <c r="C466" s="205" t="s">
        <v>1916</v>
      </c>
      <c r="D466" s="197"/>
      <c r="E466" s="636">
        <v>166500.0</v>
      </c>
      <c r="F466" s="203"/>
      <c r="G466" s="204"/>
      <c r="H466" s="358"/>
    </row>
    <row r="467">
      <c r="A467" s="206"/>
      <c r="B467" s="351">
        <v>46218.0</v>
      </c>
      <c r="C467" s="71" t="s">
        <v>2219</v>
      </c>
      <c r="D467" s="197"/>
      <c r="E467" s="636">
        <v>175000.0</v>
      </c>
      <c r="F467" s="197" t="s">
        <v>2216</v>
      </c>
      <c r="G467" s="348" t="s">
        <v>2221</v>
      </c>
    </row>
    <row r="468">
      <c r="A468" s="206"/>
      <c r="B468" s="351"/>
      <c r="C468" s="71" t="s">
        <v>2223</v>
      </c>
      <c r="D468" s="197"/>
      <c r="E468" s="636">
        <v>100000.0</v>
      </c>
      <c r="F468" s="197" t="s">
        <v>2216</v>
      </c>
      <c r="G468" s="204"/>
    </row>
    <row r="469">
      <c r="A469" s="206"/>
      <c r="B469" s="351"/>
      <c r="C469" s="71" t="s">
        <v>2224</v>
      </c>
      <c r="D469" s="197"/>
      <c r="E469" s="636">
        <v>100000.0</v>
      </c>
      <c r="F469" s="197" t="s">
        <v>2216</v>
      </c>
      <c r="G469" s="204"/>
    </row>
    <row r="470">
      <c r="A470" s="206"/>
      <c r="B470" s="351"/>
      <c r="C470" s="71" t="s">
        <v>2225</v>
      </c>
      <c r="D470" s="197"/>
      <c r="E470" s="636">
        <v>75000.0</v>
      </c>
      <c r="F470" s="197" t="s">
        <v>2216</v>
      </c>
      <c r="G470" s="204"/>
    </row>
    <row r="471">
      <c r="A471" s="206"/>
      <c r="B471" s="351"/>
      <c r="C471" s="71" t="s">
        <v>2226</v>
      </c>
      <c r="D471" s="197"/>
      <c r="E471" s="636">
        <v>25000.0</v>
      </c>
      <c r="F471" s="197" t="s">
        <v>2216</v>
      </c>
      <c r="G471" s="204"/>
    </row>
    <row r="472">
      <c r="A472" s="206"/>
      <c r="B472" s="351"/>
      <c r="C472" s="71" t="s">
        <v>2227</v>
      </c>
      <c r="D472" s="197"/>
      <c r="E472" s="636">
        <v>250000.0</v>
      </c>
      <c r="F472" s="197" t="s">
        <v>2216</v>
      </c>
      <c r="G472" s="204"/>
    </row>
    <row r="473">
      <c r="A473" s="206"/>
      <c r="B473" s="351">
        <v>46218.0</v>
      </c>
      <c r="C473" s="71" t="s">
        <v>1446</v>
      </c>
      <c r="D473" s="197"/>
      <c r="E473" s="636">
        <v>50000.0</v>
      </c>
      <c r="F473" s="200" t="s">
        <v>1447</v>
      </c>
      <c r="G473" s="204"/>
    </row>
    <row r="474">
      <c r="A474" s="206"/>
      <c r="B474" s="351"/>
      <c r="C474" s="71" t="s">
        <v>1244</v>
      </c>
      <c r="D474" s="197"/>
      <c r="E474" s="636">
        <v>70000.0</v>
      </c>
      <c r="F474" s="200" t="s">
        <v>1447</v>
      </c>
      <c r="G474" s="204"/>
    </row>
    <row r="475">
      <c r="A475" s="206"/>
      <c r="B475" s="351"/>
      <c r="C475" s="71" t="s">
        <v>2228</v>
      </c>
      <c r="D475" s="197"/>
      <c r="E475" s="636">
        <v>50000.0</v>
      </c>
      <c r="F475" s="200" t="s">
        <v>1447</v>
      </c>
      <c r="G475" s="204"/>
    </row>
    <row r="476">
      <c r="A476" s="206"/>
      <c r="B476" s="351">
        <v>46220.0</v>
      </c>
      <c r="C476" s="71" t="s">
        <v>1917</v>
      </c>
      <c r="D476" s="197" t="s">
        <v>482</v>
      </c>
      <c r="E476" s="636">
        <v>200000.0</v>
      </c>
      <c r="F476" s="200" t="s">
        <v>1918</v>
      </c>
      <c r="G476" s="92"/>
      <c r="H476" s="69"/>
    </row>
    <row r="477">
      <c r="A477" s="206"/>
      <c r="B477" s="351">
        <v>46220.0</v>
      </c>
      <c r="C477" s="71" t="s">
        <v>2229</v>
      </c>
      <c r="D477" s="239" t="s">
        <v>1022</v>
      </c>
      <c r="E477" s="636">
        <v>25000.0</v>
      </c>
      <c r="F477" s="200" t="s">
        <v>2230</v>
      </c>
      <c r="G477" s="92"/>
      <c r="H477" s="69"/>
    </row>
    <row r="478">
      <c r="A478" s="206"/>
      <c r="B478" s="351"/>
      <c r="C478" s="71" t="s">
        <v>2231</v>
      </c>
      <c r="D478" s="239" t="s">
        <v>1022</v>
      </c>
      <c r="E478" s="636">
        <v>25000.0</v>
      </c>
      <c r="F478" s="450" t="s">
        <v>2230</v>
      </c>
      <c r="G478" s="637"/>
      <c r="H478" s="69"/>
    </row>
    <row r="479">
      <c r="A479" s="92"/>
      <c r="B479" s="195">
        <v>46222.0</v>
      </c>
      <c r="C479" s="200" t="s">
        <v>2234</v>
      </c>
      <c r="D479" s="239"/>
      <c r="E479" s="634">
        <v>50000.0</v>
      </c>
      <c r="F479" s="450" t="s">
        <v>2235</v>
      </c>
      <c r="G479" s="638"/>
    </row>
    <row r="480">
      <c r="A480" s="92"/>
      <c r="B480" s="195">
        <v>46225.0</v>
      </c>
      <c r="C480" s="200" t="s">
        <v>2237</v>
      </c>
      <c r="D480" s="239" t="s">
        <v>1018</v>
      </c>
      <c r="E480" s="634">
        <v>600000.0</v>
      </c>
      <c r="F480" s="450" t="s">
        <v>1598</v>
      </c>
      <c r="G480" s="638"/>
    </row>
    <row r="481">
      <c r="A481" s="92"/>
      <c r="B481" s="92"/>
      <c r="C481" s="200" t="s">
        <v>2238</v>
      </c>
      <c r="D481" s="239"/>
      <c r="E481" s="634">
        <v>200000.0</v>
      </c>
      <c r="F481" s="450" t="s">
        <v>1598</v>
      </c>
      <c r="G481" s="638"/>
    </row>
    <row r="482">
      <c r="A482" s="206"/>
      <c r="B482" s="351">
        <v>46226.0</v>
      </c>
      <c r="C482" s="71" t="s">
        <v>684</v>
      </c>
      <c r="D482" s="197" t="s">
        <v>482</v>
      </c>
      <c r="E482" s="636">
        <v>158710.0</v>
      </c>
      <c r="F482" s="450" t="s">
        <v>470</v>
      </c>
      <c r="G482" s="639" t="s">
        <v>1934</v>
      </c>
    </row>
    <row r="483">
      <c r="A483" s="92"/>
      <c r="B483" s="195">
        <v>46227.0</v>
      </c>
      <c r="C483" s="200" t="s">
        <v>717</v>
      </c>
      <c r="D483" s="239" t="s">
        <v>1516</v>
      </c>
      <c r="E483" s="634">
        <v>50000.0</v>
      </c>
      <c r="F483" s="450" t="s">
        <v>1598</v>
      </c>
      <c r="G483" s="640" t="s">
        <v>2239</v>
      </c>
    </row>
    <row r="484">
      <c r="A484" s="92"/>
      <c r="B484" s="195"/>
      <c r="C484" s="200" t="s">
        <v>2240</v>
      </c>
      <c r="D484" s="239" t="s">
        <v>1516</v>
      </c>
      <c r="E484" s="634">
        <v>50000.0</v>
      </c>
      <c r="F484" s="450" t="s">
        <v>1598</v>
      </c>
      <c r="G484" s="638"/>
    </row>
    <row r="485">
      <c r="A485" s="92"/>
      <c r="B485" s="195">
        <v>46231.0</v>
      </c>
      <c r="C485" s="200" t="s">
        <v>684</v>
      </c>
      <c r="D485" s="239" t="s">
        <v>1148</v>
      </c>
      <c r="E485" s="634">
        <v>50000.0</v>
      </c>
      <c r="F485" s="200" t="s">
        <v>1447</v>
      </c>
      <c r="G485" s="641"/>
    </row>
    <row r="486">
      <c r="A486" s="92"/>
      <c r="B486" s="92"/>
      <c r="C486" s="200" t="s">
        <v>2241</v>
      </c>
      <c r="D486" s="239"/>
      <c r="E486" s="634">
        <v>300000.0</v>
      </c>
      <c r="F486" s="200" t="s">
        <v>1447</v>
      </c>
      <c r="G486" s="92"/>
    </row>
    <row r="487">
      <c r="A487" s="92"/>
      <c r="B487" s="92"/>
      <c r="C487" s="200" t="s">
        <v>2242</v>
      </c>
      <c r="D487" s="239" t="s">
        <v>1022</v>
      </c>
      <c r="E487" s="634">
        <v>25000.0</v>
      </c>
      <c r="F487" s="200" t="s">
        <v>1447</v>
      </c>
      <c r="G487" s="92"/>
    </row>
    <row r="488">
      <c r="A488" s="92"/>
      <c r="B488" s="92"/>
      <c r="C488" s="200" t="s">
        <v>2245</v>
      </c>
      <c r="D488" s="239"/>
      <c r="E488" s="634">
        <v>100000.0</v>
      </c>
      <c r="F488" s="200" t="s">
        <v>1447</v>
      </c>
      <c r="G488" s="92"/>
    </row>
    <row r="489">
      <c r="A489" s="92"/>
      <c r="B489" s="92"/>
      <c r="C489" s="200" t="s">
        <v>2246</v>
      </c>
      <c r="D489" s="239"/>
      <c r="E489" s="634">
        <v>100000.0</v>
      </c>
      <c r="F489" s="200" t="s">
        <v>1447</v>
      </c>
      <c r="G489" s="92"/>
    </row>
    <row r="490">
      <c r="A490" s="92"/>
      <c r="B490" s="195">
        <v>46234.0</v>
      </c>
      <c r="C490" s="200" t="s">
        <v>2247</v>
      </c>
      <c r="D490" s="239" t="s">
        <v>1022</v>
      </c>
      <c r="E490" s="634">
        <v>50000.0</v>
      </c>
      <c r="F490" s="200" t="s">
        <v>1996</v>
      </c>
      <c r="G490" s="208" t="s">
        <v>2248</v>
      </c>
    </row>
    <row r="491">
      <c r="A491" s="206"/>
      <c r="B491" s="351">
        <v>46234.0</v>
      </c>
      <c r="C491" s="205" t="s">
        <v>1855</v>
      </c>
      <c r="D491" s="197"/>
      <c r="E491" s="636">
        <v>400000.0</v>
      </c>
      <c r="F491" s="200"/>
      <c r="G491" s="357"/>
      <c r="H491" s="358"/>
    </row>
    <row r="492">
      <c r="A492" s="245"/>
      <c r="B492" s="246"/>
      <c r="C492" s="247"/>
      <c r="D492" s="248"/>
      <c r="E492" s="249"/>
      <c r="F492" s="288"/>
      <c r="G492" s="252"/>
      <c r="H492" s="254"/>
      <c r="I492" s="254"/>
      <c r="J492" s="254"/>
      <c r="K492" s="254"/>
      <c r="L492" s="254"/>
      <c r="M492" s="254"/>
      <c r="N492" s="254"/>
      <c r="O492" s="254"/>
      <c r="P492" s="254"/>
      <c r="Q492" s="254"/>
      <c r="R492" s="254"/>
      <c r="S492" s="254"/>
      <c r="T492" s="254"/>
      <c r="U492" s="254"/>
      <c r="V492" s="254"/>
      <c r="W492" s="254"/>
      <c r="X492" s="254"/>
      <c r="Y492" s="254"/>
      <c r="Z492" s="254"/>
      <c r="AA492" s="254"/>
      <c r="AB492" s="254"/>
      <c r="AC492" s="254"/>
      <c r="AD492" s="254"/>
      <c r="AE492" s="254"/>
      <c r="AF492" s="254"/>
      <c r="AG492" s="254"/>
      <c r="AH492" s="254"/>
      <c r="AI492" s="254"/>
      <c r="AJ492" s="254"/>
      <c r="AK492" s="254"/>
      <c r="AL492" s="254"/>
      <c r="AM492" s="254"/>
      <c r="AN492" s="254"/>
      <c r="AO492" s="254"/>
      <c r="AP492" s="254"/>
      <c r="AQ492" s="254"/>
      <c r="AR492" s="254"/>
      <c r="AS492" s="254"/>
      <c r="AT492" s="254"/>
    </row>
    <row r="493">
      <c r="A493" s="206"/>
      <c r="B493" s="195"/>
      <c r="C493" s="459" t="s">
        <v>2251</v>
      </c>
      <c r="D493" s="239" t="s">
        <v>1022</v>
      </c>
      <c r="E493" s="203">
        <v>600000.0</v>
      </c>
      <c r="F493" s="204"/>
      <c r="G493" s="92"/>
    </row>
    <row r="494">
      <c r="A494" s="206"/>
      <c r="B494" s="195"/>
      <c r="C494" s="71"/>
      <c r="D494" s="197"/>
      <c r="E494" s="203"/>
      <c r="F494" s="204"/>
      <c r="G494" s="92"/>
    </row>
    <row r="495">
      <c r="A495" s="206"/>
      <c r="B495" s="195"/>
      <c r="C495" s="71"/>
      <c r="D495" s="197"/>
      <c r="E495" s="203"/>
      <c r="F495" s="204"/>
      <c r="G495" s="92"/>
    </row>
    <row r="496">
      <c r="A496" s="206"/>
      <c r="B496" s="195"/>
      <c r="C496" s="71"/>
      <c r="D496" s="197"/>
      <c r="E496" s="203"/>
      <c r="F496" s="204"/>
      <c r="G496" s="92"/>
    </row>
    <row r="497">
      <c r="A497" s="206"/>
      <c r="B497" s="195"/>
      <c r="C497" s="71"/>
      <c r="D497" s="197"/>
      <c r="E497" s="203"/>
      <c r="F497" s="204"/>
      <c r="G497" s="92"/>
    </row>
    <row r="498">
      <c r="A498" s="206"/>
      <c r="B498" s="195"/>
      <c r="C498" s="71"/>
      <c r="D498" s="197"/>
      <c r="E498" s="203"/>
      <c r="F498" s="204"/>
      <c r="G498" s="92"/>
    </row>
    <row r="499">
      <c r="A499" s="206"/>
      <c r="B499" s="195"/>
      <c r="C499" s="71"/>
      <c r="D499" s="197"/>
      <c r="E499" s="203"/>
      <c r="F499" s="204"/>
      <c r="G499" s="92"/>
    </row>
    <row r="500">
      <c r="A500" s="206"/>
      <c r="B500" s="195"/>
      <c r="C500" s="71"/>
      <c r="D500" s="197"/>
      <c r="E500" s="203"/>
      <c r="F500" s="204"/>
      <c r="G500" s="92"/>
    </row>
    <row r="501">
      <c r="A501" s="206"/>
      <c r="B501" s="195"/>
      <c r="C501" s="71"/>
      <c r="D501" s="197"/>
      <c r="E501" s="203"/>
      <c r="F501" s="204"/>
      <c r="G501" s="92"/>
    </row>
    <row r="502">
      <c r="A502" s="206"/>
      <c r="B502" s="195"/>
      <c r="C502" s="71"/>
      <c r="D502" s="197"/>
      <c r="E502" s="203"/>
      <c r="F502" s="204"/>
      <c r="G502" s="92"/>
    </row>
    <row r="503">
      <c r="A503" s="245"/>
      <c r="B503" s="246"/>
      <c r="C503" s="247"/>
      <c r="D503" s="248"/>
      <c r="E503" s="249"/>
      <c r="F503" s="288"/>
      <c r="G503" s="252"/>
      <c r="H503" s="254"/>
      <c r="I503" s="254"/>
      <c r="J503" s="254"/>
      <c r="K503" s="254"/>
      <c r="L503" s="254"/>
      <c r="M503" s="254"/>
      <c r="N503" s="254"/>
      <c r="O503" s="254"/>
      <c r="P503" s="254"/>
      <c r="Q503" s="254"/>
      <c r="R503" s="254"/>
      <c r="S503" s="254"/>
      <c r="T503" s="254"/>
      <c r="U503" s="254"/>
      <c r="V503" s="254"/>
      <c r="W503" s="254"/>
      <c r="X503" s="254"/>
      <c r="Y503" s="254"/>
      <c r="Z503" s="254"/>
      <c r="AA503" s="254"/>
      <c r="AB503" s="254"/>
      <c r="AC503" s="254"/>
      <c r="AD503" s="254"/>
      <c r="AE503" s="254"/>
      <c r="AF503" s="254"/>
      <c r="AG503" s="254"/>
      <c r="AH503" s="254"/>
      <c r="AI503" s="254"/>
      <c r="AJ503" s="254"/>
      <c r="AK503" s="254"/>
      <c r="AL503" s="254"/>
      <c r="AM503" s="254"/>
      <c r="AN503" s="254"/>
      <c r="AO503" s="254"/>
      <c r="AP503" s="254"/>
      <c r="AQ503" s="254"/>
      <c r="AR503" s="254"/>
      <c r="AS503" s="254"/>
      <c r="AT503" s="254"/>
    </row>
    <row r="504">
      <c r="A504" s="206"/>
      <c r="B504" s="195"/>
      <c r="C504" s="71"/>
      <c r="D504" s="197"/>
      <c r="E504" s="203"/>
      <c r="F504" s="204"/>
      <c r="G504" s="92"/>
    </row>
    <row r="505">
      <c r="A505" s="92"/>
      <c r="B505" s="195">
        <v>46266.0</v>
      </c>
      <c r="C505" s="200" t="s">
        <v>2255</v>
      </c>
      <c r="D505" s="239" t="s">
        <v>541</v>
      </c>
      <c r="E505" s="634">
        <v>160000.0</v>
      </c>
      <c r="F505" s="200" t="s">
        <v>1447</v>
      </c>
      <c r="G505" s="641"/>
    </row>
    <row r="506">
      <c r="A506" s="206"/>
      <c r="B506" s="195"/>
      <c r="C506" s="71"/>
      <c r="D506" s="197"/>
      <c r="E506" s="203"/>
      <c r="F506" s="204"/>
      <c r="G506" s="92"/>
    </row>
    <row r="507">
      <c r="A507" s="92"/>
      <c r="B507" s="92"/>
      <c r="C507" s="204"/>
      <c r="D507" s="239" t="s">
        <v>2258</v>
      </c>
      <c r="E507" s="566">
        <f>SUM(E2:E249)</f>
        <v>276891436.8</v>
      </c>
      <c r="F507" s="204"/>
      <c r="G507" s="92"/>
    </row>
    <row r="508">
      <c r="D508" s="645" t="s">
        <v>2261</v>
      </c>
      <c r="E508" s="569"/>
    </row>
    <row r="509">
      <c r="D509" s="646" t="s">
        <v>2060</v>
      </c>
      <c r="E509" s="529">
        <v>3.25E8</v>
      </c>
    </row>
    <row r="510">
      <c r="D510" s="646" t="s">
        <v>2061</v>
      </c>
      <c r="E510" s="571">
        <f>sum(E2,E6:E8,E30:E31,E36)</f>
        <v>15001000</v>
      </c>
    </row>
    <row r="511">
      <c r="D511" s="645" t="s">
        <v>2071</v>
      </c>
      <c r="E511" s="579">
        <f>SUM(E54:E80)</f>
        <v>408236.84</v>
      </c>
    </row>
    <row r="512">
      <c r="D512" s="69" t="s">
        <v>2264</v>
      </c>
      <c r="E512" s="213">
        <f>SUM(E81:E96)</f>
        <v>8563000</v>
      </c>
    </row>
    <row r="513">
      <c r="D513" s="69" t="s">
        <v>1942</v>
      </c>
      <c r="E513" s="648">
        <f>SUM(E99:E137)</f>
        <v>5400000</v>
      </c>
      <c r="F513" s="69"/>
    </row>
    <row r="514">
      <c r="D514" s="69" t="s">
        <v>1953</v>
      </c>
      <c r="E514" s="649">
        <f>SUM(E140:E174)</f>
        <v>5345000</v>
      </c>
      <c r="F514" s="69"/>
    </row>
    <row r="515">
      <c r="D515" s="69" t="s">
        <v>1962</v>
      </c>
      <c r="E515" s="603">
        <f>SUM(E177:E189,E191:E194,E196:E199,E201:E212)-E190-E195-E200</f>
        <v>8480600</v>
      </c>
      <c r="F515" s="69" t="s">
        <v>2268</v>
      </c>
      <c r="G515" s="529">
        <f>E190+E195+E200</f>
        <v>4700000</v>
      </c>
    </row>
    <row r="516">
      <c r="D516" s="69" t="s">
        <v>2269</v>
      </c>
      <c r="E516" s="650">
        <f>SUM(E215:E253)</f>
        <v>7393600</v>
      </c>
    </row>
    <row r="517">
      <c r="D517" s="69" t="s">
        <v>1979</v>
      </c>
      <c r="E517" s="651">
        <f>SUM(E254:E270,E272:E281)-E271</f>
        <v>2103600</v>
      </c>
    </row>
    <row r="518">
      <c r="D518" s="69" t="s">
        <v>1987</v>
      </c>
      <c r="E518" s="652">
        <f>SUM(E283:E356)</f>
        <v>20198600</v>
      </c>
    </row>
    <row r="519">
      <c r="D519" s="69" t="s">
        <v>2056</v>
      </c>
      <c r="E519" s="654">
        <f>SUM(E358:E431, B387)</f>
        <v>21208600</v>
      </c>
    </row>
    <row r="520">
      <c r="D520" s="69" t="s">
        <v>1978</v>
      </c>
      <c r="E520" s="655">
        <f>SUM(E433:E456)</f>
        <v>5758600</v>
      </c>
    </row>
    <row r="521">
      <c r="D521" s="69" t="s">
        <v>1986</v>
      </c>
      <c r="E521" s="649">
        <f>SUM(E458:E491)</f>
        <v>4307310</v>
      </c>
    </row>
    <row r="522">
      <c r="D522" s="69" t="s">
        <v>1998</v>
      </c>
      <c r="E522" s="655">
        <f>SUM(E493:E494)</f>
        <v>600000</v>
      </c>
    </row>
    <row r="525">
      <c r="D525" s="646" t="s">
        <v>2075</v>
      </c>
      <c r="E525" s="601">
        <f>sum(E510:E516)</f>
        <v>50591436.84</v>
      </c>
    </row>
    <row r="527">
      <c r="D527" s="646"/>
      <c r="E527" s="213"/>
    </row>
    <row r="528">
      <c r="D528" s="645"/>
      <c r="E528" s="569"/>
    </row>
    <row r="529">
      <c r="D529" s="645" t="s">
        <v>2273</v>
      </c>
      <c r="E529" s="569">
        <f>SUM(E297:E323)</f>
        <v>13385000</v>
      </c>
    </row>
    <row r="530">
      <c r="D530" s="69" t="s">
        <v>2274</v>
      </c>
    </row>
    <row r="531">
      <c r="D531" s="569"/>
      <c r="E531" s="569"/>
    </row>
    <row r="532">
      <c r="D532" s="569"/>
      <c r="E532" s="569"/>
    </row>
    <row r="533">
      <c r="D533" s="569"/>
      <c r="E533" s="569"/>
    </row>
    <row r="534">
      <c r="D534" s="569"/>
      <c r="E534" s="569"/>
    </row>
    <row r="535">
      <c r="D535" s="569"/>
      <c r="E535" s="569"/>
    </row>
    <row r="536">
      <c r="D536" s="569"/>
      <c r="E536" s="569"/>
    </row>
    <row r="537">
      <c r="D537" s="569"/>
      <c r="E537" s="569"/>
    </row>
    <row r="538">
      <c r="D538" s="569"/>
      <c r="E538" s="569"/>
    </row>
    <row r="539">
      <c r="D539" s="569"/>
      <c r="E539" s="569"/>
    </row>
    <row r="540">
      <c r="D540" s="569"/>
      <c r="E540" s="569"/>
    </row>
    <row r="541">
      <c r="D541" s="569"/>
      <c r="E541" s="569"/>
    </row>
    <row r="542">
      <c r="D542" s="569"/>
      <c r="E542" s="569"/>
    </row>
    <row r="543">
      <c r="D543" s="569"/>
      <c r="E543" s="569"/>
    </row>
    <row r="544">
      <c r="D544" s="569"/>
      <c r="E544" s="569"/>
    </row>
    <row r="545">
      <c r="D545" s="569"/>
      <c r="E545" s="569"/>
    </row>
    <row r="546">
      <c r="D546" s="569"/>
      <c r="E546" s="569"/>
    </row>
    <row r="547">
      <c r="D547" s="569"/>
      <c r="E547" s="569"/>
    </row>
    <row r="548">
      <c r="D548" s="569"/>
      <c r="E548" s="569"/>
    </row>
    <row r="549">
      <c r="D549" s="569"/>
      <c r="E549" s="569"/>
    </row>
    <row r="550">
      <c r="D550" s="569"/>
      <c r="E550" s="569"/>
    </row>
    <row r="551">
      <c r="D551" s="569"/>
      <c r="E551" s="569"/>
    </row>
    <row r="552">
      <c r="D552" s="569"/>
      <c r="E552" s="569"/>
    </row>
    <row r="553">
      <c r="D553" s="569"/>
      <c r="E553" s="569"/>
    </row>
    <row r="554">
      <c r="D554" s="569"/>
      <c r="E554" s="569"/>
    </row>
    <row r="555">
      <c r="D555" s="569"/>
      <c r="E555" s="569"/>
    </row>
    <row r="556">
      <c r="D556" s="569"/>
      <c r="E556" s="569"/>
    </row>
    <row r="557">
      <c r="D557" s="569"/>
      <c r="E557" s="569"/>
    </row>
    <row r="558">
      <c r="D558" s="569"/>
      <c r="E558" s="569"/>
    </row>
    <row r="559">
      <c r="D559" s="569"/>
      <c r="E559" s="569"/>
    </row>
    <row r="560">
      <c r="D560" s="569"/>
      <c r="E560" s="569"/>
    </row>
    <row r="561">
      <c r="D561" s="569"/>
      <c r="E561" s="569"/>
    </row>
    <row r="562">
      <c r="D562" s="569"/>
      <c r="E562" s="569"/>
    </row>
    <row r="563">
      <c r="D563" s="569"/>
      <c r="E563" s="569"/>
    </row>
    <row r="564">
      <c r="D564" s="569"/>
      <c r="E564" s="569"/>
    </row>
    <row r="565">
      <c r="D565" s="569"/>
      <c r="E565" s="569"/>
    </row>
    <row r="566">
      <c r="D566" s="569"/>
      <c r="E566" s="569"/>
    </row>
    <row r="567">
      <c r="D567" s="569"/>
      <c r="E567" s="569"/>
    </row>
    <row r="568">
      <c r="D568" s="569"/>
      <c r="E568" s="569"/>
    </row>
    <row r="569">
      <c r="D569" s="569"/>
      <c r="E569" s="569"/>
    </row>
    <row r="570">
      <c r="D570" s="569"/>
      <c r="E570" s="569"/>
    </row>
    <row r="571">
      <c r="D571" s="569"/>
      <c r="E571" s="569"/>
    </row>
    <row r="572">
      <c r="D572" s="569"/>
      <c r="E572" s="569"/>
    </row>
    <row r="573">
      <c r="D573" s="569"/>
      <c r="E573" s="569"/>
    </row>
    <row r="574">
      <c r="D574" s="569"/>
      <c r="E574" s="569"/>
    </row>
    <row r="575">
      <c r="D575" s="569"/>
      <c r="E575" s="569"/>
    </row>
    <row r="576">
      <c r="D576" s="569"/>
      <c r="E576" s="569"/>
    </row>
    <row r="577">
      <c r="D577" s="569"/>
      <c r="E577" s="569"/>
    </row>
    <row r="578">
      <c r="D578" s="569"/>
      <c r="E578" s="569"/>
    </row>
    <row r="579">
      <c r="D579" s="569"/>
      <c r="E579" s="569"/>
    </row>
    <row r="580">
      <c r="D580" s="569"/>
      <c r="E580" s="569"/>
    </row>
    <row r="581">
      <c r="D581" s="569"/>
      <c r="E581" s="569"/>
    </row>
    <row r="582">
      <c r="D582" s="569"/>
      <c r="E582" s="569"/>
    </row>
    <row r="583">
      <c r="D583" s="569"/>
      <c r="E583" s="569"/>
    </row>
    <row r="584">
      <c r="D584" s="569"/>
      <c r="E584" s="569"/>
    </row>
    <row r="585">
      <c r="D585" s="569"/>
      <c r="E585" s="569"/>
    </row>
    <row r="586">
      <c r="D586" s="569"/>
      <c r="E586" s="569"/>
    </row>
    <row r="587">
      <c r="D587" s="569"/>
      <c r="E587" s="569"/>
    </row>
    <row r="588">
      <c r="D588" s="569"/>
      <c r="E588" s="569"/>
    </row>
    <row r="589">
      <c r="D589" s="569"/>
      <c r="E589" s="569"/>
    </row>
    <row r="590">
      <c r="D590" s="569"/>
      <c r="E590" s="569"/>
    </row>
    <row r="591">
      <c r="D591" s="569"/>
      <c r="E591" s="569"/>
    </row>
    <row r="592">
      <c r="D592" s="569"/>
      <c r="E592" s="569"/>
    </row>
    <row r="593">
      <c r="D593" s="569"/>
      <c r="E593" s="569"/>
    </row>
    <row r="594">
      <c r="D594" s="569"/>
      <c r="E594" s="569"/>
    </row>
    <row r="595">
      <c r="D595" s="569"/>
      <c r="E595" s="569"/>
    </row>
    <row r="596">
      <c r="D596" s="569"/>
      <c r="E596" s="569"/>
    </row>
    <row r="597">
      <c r="D597" s="569"/>
      <c r="E597" s="569"/>
    </row>
    <row r="598">
      <c r="D598" s="569"/>
      <c r="E598" s="569"/>
    </row>
    <row r="599">
      <c r="D599" s="569"/>
      <c r="E599" s="569"/>
    </row>
    <row r="600">
      <c r="D600" s="569"/>
      <c r="E600" s="569"/>
    </row>
    <row r="601">
      <c r="D601" s="569"/>
      <c r="E601" s="569"/>
    </row>
    <row r="602">
      <c r="D602" s="569"/>
      <c r="E602" s="569"/>
    </row>
    <row r="603">
      <c r="D603" s="569"/>
      <c r="E603" s="569"/>
    </row>
    <row r="604">
      <c r="D604" s="569"/>
      <c r="E604" s="569"/>
    </row>
    <row r="605">
      <c r="D605" s="569"/>
      <c r="E605" s="569"/>
    </row>
    <row r="606">
      <c r="D606" s="569"/>
      <c r="E606" s="569"/>
    </row>
    <row r="607">
      <c r="D607" s="569"/>
      <c r="E607" s="569"/>
    </row>
    <row r="608">
      <c r="D608" s="569"/>
      <c r="E608" s="569"/>
    </row>
    <row r="609">
      <c r="D609" s="569"/>
      <c r="E609" s="569"/>
    </row>
    <row r="610">
      <c r="D610" s="569"/>
      <c r="E610" s="569"/>
    </row>
    <row r="611">
      <c r="D611" s="569"/>
      <c r="E611" s="569"/>
    </row>
    <row r="612">
      <c r="D612" s="569"/>
      <c r="E612" s="569"/>
    </row>
    <row r="613">
      <c r="D613" s="569"/>
      <c r="E613" s="569"/>
    </row>
    <row r="614">
      <c r="D614" s="569"/>
      <c r="E614" s="569"/>
    </row>
    <row r="615">
      <c r="D615" s="569"/>
      <c r="E615" s="569"/>
    </row>
    <row r="616">
      <c r="D616" s="569"/>
      <c r="E616" s="569"/>
    </row>
    <row r="617">
      <c r="D617" s="569"/>
      <c r="E617" s="569"/>
    </row>
    <row r="618">
      <c r="D618" s="569"/>
      <c r="E618" s="569"/>
    </row>
    <row r="619">
      <c r="D619" s="569"/>
      <c r="E619" s="569"/>
    </row>
    <row r="620">
      <c r="D620" s="569"/>
      <c r="E620" s="569"/>
    </row>
    <row r="621">
      <c r="D621" s="569"/>
      <c r="E621" s="569"/>
    </row>
    <row r="622">
      <c r="D622" s="569"/>
      <c r="E622" s="569"/>
    </row>
    <row r="623">
      <c r="D623" s="569"/>
      <c r="E623" s="569"/>
    </row>
    <row r="624">
      <c r="D624" s="569"/>
      <c r="E624" s="569"/>
    </row>
    <row r="625">
      <c r="D625" s="569"/>
      <c r="E625" s="569"/>
    </row>
    <row r="626">
      <c r="D626" s="569"/>
      <c r="E626" s="569"/>
    </row>
    <row r="627">
      <c r="D627" s="569"/>
      <c r="E627" s="569"/>
    </row>
    <row r="628">
      <c r="D628" s="569"/>
      <c r="E628" s="569"/>
    </row>
    <row r="629">
      <c r="D629" s="569"/>
      <c r="E629" s="569"/>
    </row>
    <row r="630">
      <c r="D630" s="569"/>
      <c r="E630" s="569"/>
    </row>
    <row r="631">
      <c r="D631" s="569"/>
      <c r="E631" s="569"/>
    </row>
    <row r="632">
      <c r="D632" s="569"/>
      <c r="E632" s="569"/>
    </row>
    <row r="633">
      <c r="D633" s="569"/>
      <c r="E633" s="569"/>
    </row>
    <row r="634">
      <c r="D634" s="569"/>
      <c r="E634" s="569"/>
    </row>
    <row r="635">
      <c r="D635" s="569"/>
      <c r="E635" s="569"/>
    </row>
    <row r="636">
      <c r="D636" s="569"/>
      <c r="E636" s="569"/>
    </row>
    <row r="637">
      <c r="D637" s="569"/>
      <c r="E637" s="569"/>
    </row>
    <row r="638">
      <c r="D638" s="569"/>
      <c r="E638" s="569"/>
    </row>
    <row r="639">
      <c r="D639" s="569"/>
      <c r="E639" s="569"/>
    </row>
    <row r="640">
      <c r="D640" s="569"/>
      <c r="E640" s="569"/>
    </row>
    <row r="641">
      <c r="D641" s="569"/>
      <c r="E641" s="569"/>
    </row>
    <row r="642">
      <c r="D642" s="569"/>
      <c r="E642" s="569"/>
    </row>
    <row r="643">
      <c r="D643" s="569"/>
      <c r="E643" s="569"/>
    </row>
    <row r="644">
      <c r="D644" s="569"/>
      <c r="E644" s="569"/>
    </row>
    <row r="645">
      <c r="D645" s="569"/>
      <c r="E645" s="569"/>
    </row>
    <row r="646">
      <c r="D646" s="569"/>
      <c r="E646" s="569"/>
    </row>
    <row r="647">
      <c r="D647" s="569"/>
      <c r="E647" s="569"/>
    </row>
    <row r="648">
      <c r="D648" s="569"/>
      <c r="E648" s="569"/>
    </row>
    <row r="649">
      <c r="D649" s="569"/>
      <c r="E649" s="569"/>
    </row>
    <row r="650">
      <c r="D650" s="569"/>
      <c r="E650" s="569"/>
    </row>
    <row r="651">
      <c r="D651" s="569"/>
      <c r="E651" s="569"/>
    </row>
    <row r="652">
      <c r="D652" s="569"/>
      <c r="E652" s="569"/>
    </row>
    <row r="653">
      <c r="D653" s="569"/>
      <c r="E653" s="569"/>
    </row>
    <row r="654">
      <c r="D654" s="569"/>
      <c r="E654" s="569"/>
    </row>
    <row r="655">
      <c r="D655" s="569"/>
      <c r="E655" s="569"/>
    </row>
    <row r="656">
      <c r="D656" s="569"/>
      <c r="E656" s="569"/>
    </row>
    <row r="657">
      <c r="D657" s="569"/>
      <c r="E657" s="569"/>
    </row>
    <row r="658">
      <c r="D658" s="569"/>
      <c r="E658" s="569"/>
    </row>
    <row r="659">
      <c r="D659" s="569"/>
      <c r="E659" s="569"/>
    </row>
    <row r="660">
      <c r="D660" s="569"/>
      <c r="E660" s="569"/>
    </row>
    <row r="661">
      <c r="D661" s="569"/>
      <c r="E661" s="569"/>
    </row>
    <row r="662">
      <c r="D662" s="569"/>
      <c r="E662" s="569"/>
    </row>
    <row r="663">
      <c r="D663" s="569"/>
      <c r="E663" s="569"/>
    </row>
    <row r="664">
      <c r="D664" s="569"/>
      <c r="E664" s="569"/>
    </row>
    <row r="665">
      <c r="D665" s="569"/>
      <c r="E665" s="569"/>
    </row>
    <row r="666">
      <c r="D666" s="569"/>
      <c r="E666" s="569"/>
    </row>
    <row r="667">
      <c r="D667" s="569"/>
      <c r="E667" s="569"/>
    </row>
    <row r="668">
      <c r="D668" s="569"/>
      <c r="E668" s="569"/>
    </row>
    <row r="669">
      <c r="D669" s="569"/>
      <c r="E669" s="569"/>
    </row>
    <row r="670">
      <c r="D670" s="569"/>
      <c r="E670" s="569"/>
    </row>
    <row r="671">
      <c r="D671" s="569"/>
      <c r="E671" s="569"/>
    </row>
    <row r="672">
      <c r="D672" s="569"/>
      <c r="E672" s="569"/>
    </row>
    <row r="673">
      <c r="D673" s="569"/>
      <c r="E673" s="569"/>
    </row>
    <row r="674">
      <c r="D674" s="569"/>
      <c r="E674" s="569"/>
    </row>
    <row r="675">
      <c r="D675" s="569"/>
      <c r="E675" s="569"/>
    </row>
    <row r="676">
      <c r="D676" s="569"/>
      <c r="E676" s="569"/>
    </row>
    <row r="677">
      <c r="D677" s="569"/>
      <c r="E677" s="569"/>
    </row>
    <row r="678">
      <c r="D678" s="569"/>
      <c r="E678" s="569"/>
    </row>
    <row r="679">
      <c r="D679" s="569"/>
      <c r="E679" s="569"/>
    </row>
    <row r="680">
      <c r="D680" s="569"/>
      <c r="E680" s="569"/>
    </row>
    <row r="681">
      <c r="D681" s="569"/>
      <c r="E681" s="569"/>
    </row>
    <row r="682">
      <c r="D682" s="569"/>
      <c r="E682" s="569"/>
    </row>
    <row r="683">
      <c r="D683" s="569"/>
      <c r="E683" s="569"/>
    </row>
    <row r="684">
      <c r="D684" s="569"/>
      <c r="E684" s="569"/>
    </row>
    <row r="685">
      <c r="D685" s="569"/>
      <c r="E685" s="569"/>
    </row>
    <row r="686">
      <c r="D686" s="569"/>
      <c r="E686" s="569"/>
    </row>
    <row r="687">
      <c r="D687" s="569"/>
      <c r="E687" s="569"/>
    </row>
    <row r="688">
      <c r="D688" s="569"/>
      <c r="E688" s="569"/>
    </row>
    <row r="689">
      <c r="D689" s="569"/>
      <c r="E689" s="569"/>
    </row>
    <row r="690">
      <c r="D690" s="569"/>
      <c r="E690" s="569"/>
    </row>
    <row r="691">
      <c r="D691" s="569"/>
      <c r="E691" s="569"/>
    </row>
    <row r="692">
      <c r="D692" s="569"/>
      <c r="E692" s="569"/>
    </row>
    <row r="693">
      <c r="D693" s="569"/>
      <c r="E693" s="569"/>
    </row>
    <row r="694">
      <c r="D694" s="569"/>
      <c r="E694" s="569"/>
    </row>
    <row r="695">
      <c r="D695" s="569"/>
      <c r="E695" s="569"/>
    </row>
    <row r="696">
      <c r="D696" s="569"/>
      <c r="E696" s="569"/>
    </row>
    <row r="697">
      <c r="D697" s="569"/>
      <c r="E697" s="569"/>
    </row>
    <row r="698">
      <c r="D698" s="569"/>
      <c r="E698" s="569"/>
    </row>
    <row r="699">
      <c r="D699" s="569"/>
      <c r="E699" s="569"/>
    </row>
    <row r="700">
      <c r="D700" s="569"/>
      <c r="E700" s="569"/>
    </row>
    <row r="701">
      <c r="D701" s="569"/>
      <c r="E701" s="569"/>
    </row>
    <row r="702">
      <c r="D702" s="569"/>
      <c r="E702" s="569"/>
    </row>
    <row r="703">
      <c r="D703" s="569"/>
      <c r="E703" s="569"/>
    </row>
    <row r="704">
      <c r="D704" s="569"/>
      <c r="E704" s="569"/>
    </row>
    <row r="705">
      <c r="D705" s="569"/>
      <c r="E705" s="569"/>
    </row>
    <row r="706">
      <c r="D706" s="569"/>
      <c r="E706" s="569"/>
    </row>
    <row r="707">
      <c r="D707" s="569"/>
      <c r="E707" s="569"/>
    </row>
    <row r="708">
      <c r="D708" s="569"/>
      <c r="E708" s="569"/>
    </row>
    <row r="709">
      <c r="D709" s="569"/>
      <c r="E709" s="569"/>
    </row>
    <row r="710">
      <c r="D710" s="569"/>
      <c r="E710" s="569"/>
    </row>
    <row r="711">
      <c r="D711" s="569"/>
      <c r="E711" s="569"/>
    </row>
    <row r="712">
      <c r="D712" s="569"/>
      <c r="E712" s="569"/>
    </row>
    <row r="713">
      <c r="D713" s="569"/>
      <c r="E713" s="569"/>
    </row>
    <row r="714">
      <c r="D714" s="569"/>
      <c r="E714" s="569"/>
    </row>
    <row r="715">
      <c r="D715" s="569"/>
      <c r="E715" s="569"/>
    </row>
    <row r="716">
      <c r="D716" s="569"/>
      <c r="E716" s="569"/>
    </row>
    <row r="717">
      <c r="D717" s="569"/>
      <c r="E717" s="569"/>
    </row>
    <row r="718">
      <c r="D718" s="569"/>
      <c r="E718" s="569"/>
    </row>
    <row r="719">
      <c r="D719" s="569"/>
      <c r="E719" s="569"/>
    </row>
    <row r="720">
      <c r="D720" s="569"/>
      <c r="E720" s="569"/>
    </row>
    <row r="721">
      <c r="D721" s="569"/>
      <c r="E721" s="569"/>
    </row>
    <row r="722">
      <c r="D722" s="569"/>
      <c r="E722" s="569"/>
    </row>
    <row r="723">
      <c r="D723" s="569"/>
      <c r="E723" s="569"/>
    </row>
    <row r="724">
      <c r="D724" s="569"/>
      <c r="E724" s="569"/>
    </row>
    <row r="725">
      <c r="D725" s="569"/>
      <c r="E725" s="569"/>
    </row>
    <row r="726">
      <c r="D726" s="569"/>
      <c r="E726" s="569"/>
    </row>
    <row r="727">
      <c r="D727" s="569"/>
      <c r="E727" s="569"/>
    </row>
    <row r="728">
      <c r="D728" s="569"/>
      <c r="E728" s="569"/>
    </row>
    <row r="729">
      <c r="D729" s="569"/>
      <c r="E729" s="569"/>
    </row>
    <row r="730">
      <c r="D730" s="569"/>
      <c r="E730" s="569"/>
    </row>
    <row r="731">
      <c r="D731" s="569"/>
      <c r="E731" s="569"/>
    </row>
    <row r="732">
      <c r="D732" s="569"/>
      <c r="E732" s="569"/>
    </row>
    <row r="733">
      <c r="D733" s="569"/>
      <c r="E733" s="569"/>
    </row>
    <row r="734">
      <c r="D734" s="569"/>
      <c r="E734" s="569"/>
    </row>
    <row r="735">
      <c r="D735" s="569"/>
      <c r="E735" s="569"/>
    </row>
    <row r="736">
      <c r="D736" s="569"/>
      <c r="E736" s="569"/>
    </row>
    <row r="737">
      <c r="D737" s="569"/>
      <c r="E737" s="569"/>
    </row>
    <row r="738">
      <c r="D738" s="569"/>
      <c r="E738" s="569"/>
    </row>
    <row r="739">
      <c r="D739" s="569"/>
      <c r="E739" s="569"/>
    </row>
    <row r="740">
      <c r="D740" s="569"/>
      <c r="E740" s="569"/>
    </row>
    <row r="741">
      <c r="D741" s="569"/>
      <c r="E741" s="569"/>
    </row>
    <row r="742">
      <c r="D742" s="569"/>
      <c r="E742" s="569"/>
    </row>
    <row r="743">
      <c r="D743" s="569"/>
      <c r="E743" s="569"/>
    </row>
    <row r="744">
      <c r="D744" s="569"/>
      <c r="E744" s="569"/>
    </row>
    <row r="745">
      <c r="D745" s="569"/>
      <c r="E745" s="569"/>
    </row>
    <row r="746">
      <c r="D746" s="569"/>
      <c r="E746" s="569"/>
    </row>
    <row r="747">
      <c r="D747" s="569"/>
      <c r="E747" s="569"/>
    </row>
    <row r="748">
      <c r="D748" s="569"/>
      <c r="E748" s="569"/>
    </row>
    <row r="749">
      <c r="D749" s="569"/>
      <c r="E749" s="569"/>
    </row>
    <row r="750">
      <c r="D750" s="569"/>
      <c r="E750" s="569"/>
    </row>
    <row r="751">
      <c r="D751" s="569"/>
      <c r="E751" s="569"/>
    </row>
    <row r="752">
      <c r="D752" s="569"/>
      <c r="E752" s="569"/>
    </row>
    <row r="753">
      <c r="D753" s="569"/>
      <c r="E753" s="569"/>
    </row>
    <row r="754">
      <c r="D754" s="569"/>
      <c r="E754" s="569"/>
    </row>
    <row r="755">
      <c r="D755" s="569"/>
      <c r="E755" s="569"/>
    </row>
    <row r="756">
      <c r="D756" s="569"/>
      <c r="E756" s="569"/>
    </row>
    <row r="757">
      <c r="D757" s="569"/>
      <c r="E757" s="569"/>
    </row>
    <row r="758">
      <c r="D758" s="569"/>
      <c r="E758" s="569"/>
    </row>
    <row r="759">
      <c r="D759" s="569"/>
      <c r="E759" s="569"/>
    </row>
    <row r="760">
      <c r="D760" s="569"/>
      <c r="E760" s="569"/>
    </row>
    <row r="761">
      <c r="D761" s="569"/>
      <c r="E761" s="569"/>
    </row>
    <row r="762">
      <c r="D762" s="569"/>
      <c r="E762" s="569"/>
    </row>
    <row r="763">
      <c r="D763" s="569"/>
      <c r="E763" s="569"/>
    </row>
    <row r="764">
      <c r="D764" s="569"/>
      <c r="E764" s="569"/>
    </row>
    <row r="765">
      <c r="D765" s="569"/>
      <c r="E765" s="569"/>
    </row>
    <row r="766">
      <c r="D766" s="569"/>
      <c r="E766" s="569"/>
    </row>
    <row r="767">
      <c r="D767" s="569"/>
      <c r="E767" s="569"/>
    </row>
    <row r="768">
      <c r="D768" s="569"/>
      <c r="E768" s="569"/>
    </row>
    <row r="769">
      <c r="D769" s="569"/>
      <c r="E769" s="569"/>
    </row>
    <row r="770">
      <c r="D770" s="569"/>
      <c r="E770" s="569"/>
    </row>
    <row r="771">
      <c r="D771" s="569"/>
      <c r="E771" s="569"/>
    </row>
    <row r="772">
      <c r="D772" s="569"/>
      <c r="E772" s="569"/>
    </row>
    <row r="773">
      <c r="D773" s="569"/>
      <c r="E773" s="569"/>
    </row>
    <row r="774">
      <c r="D774" s="569"/>
      <c r="E774" s="569"/>
    </row>
    <row r="775">
      <c r="D775" s="569"/>
      <c r="E775" s="569"/>
    </row>
    <row r="776">
      <c r="D776" s="569"/>
      <c r="E776" s="569"/>
    </row>
    <row r="777">
      <c r="D777" s="569"/>
      <c r="E777" s="569"/>
    </row>
    <row r="778">
      <c r="D778" s="569"/>
      <c r="E778" s="569"/>
    </row>
    <row r="779">
      <c r="D779" s="569"/>
      <c r="E779" s="569"/>
    </row>
    <row r="780">
      <c r="D780" s="569"/>
      <c r="E780" s="569"/>
    </row>
    <row r="781">
      <c r="D781" s="569"/>
      <c r="E781" s="569"/>
    </row>
    <row r="782">
      <c r="D782" s="569"/>
      <c r="E782" s="569"/>
    </row>
    <row r="783">
      <c r="D783" s="569"/>
      <c r="E783" s="569"/>
    </row>
    <row r="784">
      <c r="D784" s="569"/>
      <c r="E784" s="569"/>
    </row>
    <row r="785">
      <c r="D785" s="569"/>
      <c r="E785" s="569"/>
    </row>
    <row r="786">
      <c r="D786" s="569"/>
      <c r="E786" s="569"/>
    </row>
    <row r="787">
      <c r="D787" s="569"/>
      <c r="E787" s="569"/>
    </row>
    <row r="788">
      <c r="D788" s="569"/>
      <c r="E788" s="569"/>
    </row>
    <row r="789">
      <c r="D789" s="569"/>
      <c r="E789" s="569"/>
    </row>
    <row r="790">
      <c r="D790" s="569"/>
      <c r="E790" s="569"/>
    </row>
    <row r="791">
      <c r="D791" s="569"/>
      <c r="E791" s="569"/>
    </row>
    <row r="792">
      <c r="D792" s="569"/>
      <c r="E792" s="569"/>
    </row>
    <row r="793">
      <c r="D793" s="569"/>
      <c r="E793" s="569"/>
    </row>
    <row r="794">
      <c r="D794" s="569"/>
      <c r="E794" s="569"/>
    </row>
    <row r="795">
      <c r="D795" s="569"/>
      <c r="E795" s="569"/>
    </row>
    <row r="796">
      <c r="D796" s="569"/>
      <c r="E796" s="569"/>
    </row>
    <row r="797">
      <c r="D797" s="569"/>
      <c r="E797" s="569"/>
    </row>
    <row r="798">
      <c r="D798" s="569"/>
      <c r="E798" s="569"/>
    </row>
    <row r="799">
      <c r="D799" s="569"/>
      <c r="E799" s="569"/>
    </row>
    <row r="800">
      <c r="D800" s="569"/>
      <c r="E800" s="569"/>
    </row>
    <row r="801">
      <c r="D801" s="569"/>
      <c r="E801" s="569"/>
    </row>
    <row r="802">
      <c r="D802" s="569"/>
      <c r="E802" s="569"/>
    </row>
    <row r="803">
      <c r="D803" s="569"/>
      <c r="E803" s="569"/>
    </row>
    <row r="804">
      <c r="D804" s="569"/>
      <c r="E804" s="569"/>
    </row>
    <row r="805">
      <c r="D805" s="569"/>
      <c r="E805" s="569"/>
    </row>
    <row r="806">
      <c r="D806" s="569"/>
      <c r="E806" s="569"/>
    </row>
    <row r="807">
      <c r="D807" s="569"/>
      <c r="E807" s="569"/>
    </row>
    <row r="808">
      <c r="D808" s="569"/>
      <c r="E808" s="569"/>
    </row>
    <row r="809">
      <c r="D809" s="569"/>
      <c r="E809" s="569"/>
    </row>
    <row r="810">
      <c r="D810" s="569"/>
      <c r="E810" s="569"/>
    </row>
    <row r="811">
      <c r="D811" s="569"/>
      <c r="E811" s="569"/>
    </row>
    <row r="812">
      <c r="D812" s="569"/>
      <c r="E812" s="569"/>
    </row>
    <row r="813">
      <c r="D813" s="569"/>
      <c r="E813" s="569"/>
    </row>
    <row r="814">
      <c r="D814" s="569"/>
      <c r="E814" s="569"/>
    </row>
    <row r="815">
      <c r="D815" s="569"/>
      <c r="E815" s="569"/>
    </row>
    <row r="816">
      <c r="D816" s="569"/>
      <c r="E816" s="569"/>
    </row>
    <row r="817">
      <c r="D817" s="569"/>
      <c r="E817" s="569"/>
    </row>
    <row r="818">
      <c r="D818" s="569"/>
      <c r="E818" s="569"/>
    </row>
    <row r="819">
      <c r="D819" s="569"/>
      <c r="E819" s="569"/>
    </row>
    <row r="820">
      <c r="D820" s="569"/>
      <c r="E820" s="569"/>
    </row>
    <row r="821">
      <c r="D821" s="569"/>
      <c r="E821" s="569"/>
    </row>
    <row r="822">
      <c r="D822" s="569"/>
      <c r="E822" s="569"/>
    </row>
    <row r="823">
      <c r="D823" s="569"/>
      <c r="E823" s="569"/>
    </row>
    <row r="824">
      <c r="D824" s="569"/>
      <c r="E824" s="569"/>
    </row>
    <row r="825">
      <c r="D825" s="569"/>
      <c r="E825" s="569"/>
    </row>
    <row r="826">
      <c r="D826" s="569"/>
      <c r="E826" s="569"/>
    </row>
    <row r="827">
      <c r="D827" s="569"/>
      <c r="E827" s="569"/>
    </row>
    <row r="828">
      <c r="D828" s="569"/>
      <c r="E828" s="569"/>
    </row>
    <row r="829">
      <c r="D829" s="569"/>
      <c r="E829" s="569"/>
    </row>
    <row r="830">
      <c r="D830" s="569"/>
      <c r="E830" s="569"/>
    </row>
    <row r="831">
      <c r="D831" s="569"/>
      <c r="E831" s="569"/>
    </row>
    <row r="832">
      <c r="D832" s="569"/>
      <c r="E832" s="569"/>
    </row>
    <row r="833">
      <c r="D833" s="569"/>
      <c r="E833" s="569"/>
    </row>
    <row r="834">
      <c r="D834" s="569"/>
      <c r="E834" s="569"/>
    </row>
    <row r="835">
      <c r="D835" s="569"/>
      <c r="E835" s="569"/>
    </row>
    <row r="836">
      <c r="D836" s="569"/>
      <c r="E836" s="569"/>
    </row>
    <row r="837">
      <c r="D837" s="569"/>
      <c r="E837" s="569"/>
    </row>
    <row r="838">
      <c r="D838" s="569"/>
      <c r="E838" s="569"/>
    </row>
    <row r="839">
      <c r="D839" s="569"/>
      <c r="E839" s="569"/>
    </row>
    <row r="840">
      <c r="D840" s="569"/>
      <c r="E840" s="569"/>
    </row>
    <row r="841">
      <c r="D841" s="569"/>
      <c r="E841" s="569"/>
    </row>
    <row r="842">
      <c r="D842" s="569"/>
      <c r="E842" s="569"/>
    </row>
    <row r="843">
      <c r="D843" s="569"/>
      <c r="E843" s="569"/>
    </row>
    <row r="844">
      <c r="D844" s="569"/>
      <c r="E844" s="569"/>
    </row>
    <row r="845">
      <c r="D845" s="569"/>
      <c r="E845" s="569"/>
    </row>
    <row r="846">
      <c r="D846" s="569"/>
      <c r="E846" s="569"/>
    </row>
    <row r="847">
      <c r="D847" s="569"/>
      <c r="E847" s="569"/>
    </row>
    <row r="848">
      <c r="D848" s="569"/>
      <c r="E848" s="569"/>
    </row>
    <row r="849">
      <c r="D849" s="569"/>
      <c r="E849" s="569"/>
    </row>
    <row r="850">
      <c r="D850" s="569"/>
      <c r="E850" s="569"/>
    </row>
    <row r="851">
      <c r="D851" s="569"/>
      <c r="E851" s="569"/>
    </row>
    <row r="852">
      <c r="D852" s="569"/>
      <c r="E852" s="569"/>
    </row>
    <row r="853">
      <c r="D853" s="569"/>
      <c r="E853" s="569"/>
    </row>
    <row r="854">
      <c r="D854" s="569"/>
      <c r="E854" s="569"/>
    </row>
    <row r="855">
      <c r="D855" s="569"/>
      <c r="E855" s="569"/>
    </row>
    <row r="856">
      <c r="D856" s="569"/>
      <c r="E856" s="569"/>
    </row>
    <row r="857">
      <c r="D857" s="569"/>
      <c r="E857" s="569"/>
    </row>
    <row r="858">
      <c r="D858" s="569"/>
      <c r="E858" s="569"/>
    </row>
    <row r="859">
      <c r="D859" s="569"/>
      <c r="E859" s="569"/>
    </row>
    <row r="860">
      <c r="D860" s="569"/>
      <c r="E860" s="569"/>
    </row>
    <row r="861">
      <c r="D861" s="569"/>
      <c r="E861" s="569"/>
    </row>
    <row r="862">
      <c r="D862" s="569"/>
      <c r="E862" s="569"/>
    </row>
    <row r="863">
      <c r="D863" s="569"/>
      <c r="E863" s="569"/>
    </row>
    <row r="864">
      <c r="D864" s="569"/>
      <c r="E864" s="569"/>
    </row>
    <row r="865">
      <c r="D865" s="569"/>
      <c r="E865" s="569"/>
    </row>
    <row r="866">
      <c r="D866" s="569"/>
      <c r="E866" s="569"/>
    </row>
    <row r="867">
      <c r="D867" s="569"/>
      <c r="E867" s="569"/>
    </row>
    <row r="868">
      <c r="D868" s="569"/>
      <c r="E868" s="569"/>
    </row>
    <row r="869">
      <c r="D869" s="569"/>
      <c r="E869" s="569"/>
    </row>
    <row r="870">
      <c r="D870" s="569"/>
      <c r="E870" s="569"/>
    </row>
    <row r="871">
      <c r="D871" s="569"/>
      <c r="E871" s="569"/>
    </row>
    <row r="872">
      <c r="D872" s="569"/>
      <c r="E872" s="569"/>
    </row>
    <row r="873">
      <c r="D873" s="569"/>
      <c r="E873" s="569"/>
    </row>
    <row r="874">
      <c r="D874" s="569"/>
      <c r="E874" s="569"/>
    </row>
    <row r="875">
      <c r="D875" s="569"/>
      <c r="E875" s="569"/>
    </row>
    <row r="876">
      <c r="D876" s="569"/>
      <c r="E876" s="569"/>
    </row>
    <row r="877">
      <c r="D877" s="569"/>
      <c r="E877" s="569"/>
    </row>
    <row r="878">
      <c r="D878" s="569"/>
      <c r="E878" s="569"/>
    </row>
    <row r="879">
      <c r="D879" s="569"/>
      <c r="E879" s="569"/>
    </row>
    <row r="880">
      <c r="D880" s="569"/>
      <c r="E880" s="569"/>
    </row>
    <row r="881">
      <c r="D881" s="569"/>
      <c r="E881" s="569"/>
    </row>
    <row r="882">
      <c r="D882" s="569"/>
      <c r="E882" s="569"/>
    </row>
    <row r="883">
      <c r="D883" s="569"/>
      <c r="E883" s="569"/>
    </row>
    <row r="884">
      <c r="D884" s="569"/>
      <c r="E884" s="569"/>
    </row>
    <row r="885">
      <c r="D885" s="569"/>
      <c r="E885" s="569"/>
    </row>
    <row r="886">
      <c r="D886" s="569"/>
      <c r="E886" s="569"/>
    </row>
    <row r="887">
      <c r="D887" s="569"/>
      <c r="E887" s="569"/>
    </row>
    <row r="888">
      <c r="D888" s="569"/>
      <c r="E888" s="569"/>
    </row>
    <row r="889">
      <c r="D889" s="569"/>
      <c r="E889" s="569"/>
    </row>
    <row r="890">
      <c r="D890" s="569"/>
      <c r="E890" s="569"/>
    </row>
    <row r="891">
      <c r="D891" s="569"/>
      <c r="E891" s="569"/>
    </row>
    <row r="892">
      <c r="D892" s="569"/>
      <c r="E892" s="569"/>
    </row>
    <row r="893">
      <c r="D893" s="569"/>
      <c r="E893" s="569"/>
    </row>
    <row r="894">
      <c r="D894" s="569"/>
      <c r="E894" s="569"/>
    </row>
    <row r="895">
      <c r="D895" s="569"/>
      <c r="E895" s="569"/>
    </row>
    <row r="896">
      <c r="D896" s="569"/>
      <c r="E896" s="569"/>
    </row>
    <row r="897">
      <c r="D897" s="569"/>
      <c r="E897" s="569"/>
    </row>
    <row r="898">
      <c r="D898" s="569"/>
      <c r="E898" s="569"/>
    </row>
    <row r="899">
      <c r="D899" s="569"/>
      <c r="E899" s="569"/>
    </row>
    <row r="900">
      <c r="D900" s="569"/>
      <c r="E900" s="569"/>
    </row>
    <row r="901">
      <c r="D901" s="569"/>
      <c r="E901" s="569"/>
    </row>
    <row r="902">
      <c r="D902" s="569"/>
      <c r="E902" s="569"/>
    </row>
    <row r="903">
      <c r="D903" s="569"/>
      <c r="E903" s="569"/>
    </row>
    <row r="904">
      <c r="D904" s="569"/>
      <c r="E904" s="569"/>
    </row>
    <row r="905">
      <c r="D905" s="569"/>
      <c r="E905" s="569"/>
    </row>
    <row r="906">
      <c r="D906" s="569"/>
      <c r="E906" s="569"/>
    </row>
    <row r="907">
      <c r="D907" s="569"/>
      <c r="E907" s="569"/>
    </row>
    <row r="908">
      <c r="D908" s="569"/>
      <c r="E908" s="569"/>
    </row>
    <row r="909">
      <c r="D909" s="569"/>
      <c r="E909" s="569"/>
    </row>
    <row r="910">
      <c r="D910" s="569"/>
      <c r="E910" s="569"/>
    </row>
    <row r="911">
      <c r="D911" s="569"/>
      <c r="E911" s="569"/>
    </row>
    <row r="912">
      <c r="D912" s="569"/>
      <c r="E912" s="569"/>
    </row>
    <row r="913">
      <c r="D913" s="569"/>
      <c r="E913" s="569"/>
    </row>
    <row r="914">
      <c r="D914" s="569"/>
      <c r="E914" s="569"/>
    </row>
    <row r="915">
      <c r="D915" s="569"/>
      <c r="E915" s="569"/>
    </row>
    <row r="916">
      <c r="D916" s="569"/>
      <c r="E916" s="569"/>
    </row>
    <row r="917">
      <c r="D917" s="569"/>
      <c r="E917" s="569"/>
    </row>
    <row r="918">
      <c r="D918" s="569"/>
      <c r="E918" s="569"/>
    </row>
    <row r="919">
      <c r="D919" s="569"/>
      <c r="E919" s="569"/>
    </row>
    <row r="920">
      <c r="D920" s="569"/>
      <c r="E920" s="569"/>
    </row>
    <row r="921">
      <c r="D921" s="569"/>
      <c r="E921" s="569"/>
    </row>
    <row r="922">
      <c r="D922" s="569"/>
      <c r="E922" s="569"/>
    </row>
    <row r="923">
      <c r="D923" s="569"/>
      <c r="E923" s="569"/>
    </row>
    <row r="924">
      <c r="D924" s="569"/>
      <c r="E924" s="569"/>
    </row>
    <row r="925">
      <c r="D925" s="569"/>
      <c r="E925" s="569"/>
    </row>
    <row r="926">
      <c r="D926" s="569"/>
      <c r="E926" s="569"/>
    </row>
    <row r="927">
      <c r="D927" s="569"/>
      <c r="E927" s="569"/>
    </row>
    <row r="928">
      <c r="D928" s="569"/>
      <c r="E928" s="569"/>
    </row>
    <row r="929">
      <c r="D929" s="569"/>
      <c r="E929" s="569"/>
    </row>
    <row r="930">
      <c r="D930" s="569"/>
      <c r="E930" s="569"/>
    </row>
    <row r="931">
      <c r="D931" s="569"/>
      <c r="E931" s="569"/>
    </row>
    <row r="932">
      <c r="D932" s="569"/>
      <c r="E932" s="569"/>
    </row>
    <row r="933">
      <c r="D933" s="569"/>
      <c r="E933" s="569"/>
    </row>
    <row r="934">
      <c r="D934" s="569"/>
      <c r="E934" s="569"/>
    </row>
    <row r="935">
      <c r="D935" s="569"/>
      <c r="E935" s="569"/>
    </row>
    <row r="936">
      <c r="D936" s="569"/>
      <c r="E936" s="569"/>
    </row>
    <row r="937">
      <c r="D937" s="569"/>
      <c r="E937" s="569"/>
    </row>
    <row r="938">
      <c r="D938" s="569"/>
      <c r="E938" s="569"/>
    </row>
    <row r="939">
      <c r="D939" s="569"/>
      <c r="E939" s="569"/>
    </row>
    <row r="940">
      <c r="D940" s="569"/>
      <c r="E940" s="569"/>
    </row>
    <row r="941">
      <c r="D941" s="569"/>
      <c r="E941" s="569"/>
    </row>
    <row r="942">
      <c r="D942" s="569"/>
      <c r="E942" s="569"/>
    </row>
    <row r="943">
      <c r="D943" s="569"/>
      <c r="E943" s="569"/>
    </row>
    <row r="944">
      <c r="D944" s="569"/>
      <c r="E944" s="569"/>
    </row>
    <row r="945">
      <c r="D945" s="569"/>
      <c r="E945" s="569"/>
    </row>
    <row r="946">
      <c r="D946" s="569"/>
      <c r="E946" s="569"/>
    </row>
    <row r="947">
      <c r="D947" s="569"/>
      <c r="E947" s="569"/>
    </row>
    <row r="948">
      <c r="D948" s="569"/>
      <c r="E948" s="569"/>
    </row>
    <row r="949">
      <c r="D949" s="569"/>
      <c r="E949" s="569"/>
    </row>
    <row r="950">
      <c r="D950" s="569"/>
      <c r="E950" s="569"/>
    </row>
    <row r="951">
      <c r="D951" s="569"/>
      <c r="E951" s="569"/>
    </row>
    <row r="952">
      <c r="D952" s="569"/>
      <c r="E952" s="569"/>
    </row>
    <row r="953">
      <c r="D953" s="569"/>
      <c r="E953" s="569"/>
    </row>
    <row r="954">
      <c r="D954" s="569"/>
      <c r="E954" s="569"/>
    </row>
    <row r="955">
      <c r="D955" s="569"/>
      <c r="E955" s="569"/>
    </row>
    <row r="956">
      <c r="D956" s="569"/>
      <c r="E956" s="569"/>
    </row>
    <row r="957">
      <c r="D957" s="569"/>
      <c r="E957" s="569"/>
    </row>
    <row r="958">
      <c r="D958" s="569"/>
      <c r="E958" s="569"/>
    </row>
    <row r="959">
      <c r="D959" s="569"/>
      <c r="E959" s="569"/>
    </row>
    <row r="960">
      <c r="D960" s="569"/>
      <c r="E960" s="569"/>
    </row>
    <row r="961">
      <c r="D961" s="569"/>
      <c r="E961" s="569"/>
    </row>
    <row r="962">
      <c r="D962" s="569"/>
      <c r="E962" s="569"/>
    </row>
    <row r="963">
      <c r="D963" s="569"/>
      <c r="E963" s="569"/>
    </row>
    <row r="964">
      <c r="D964" s="569"/>
      <c r="E964" s="569"/>
    </row>
    <row r="965">
      <c r="D965" s="569"/>
      <c r="E965" s="569"/>
    </row>
    <row r="966">
      <c r="D966" s="569"/>
      <c r="E966" s="569"/>
    </row>
    <row r="967">
      <c r="D967" s="569"/>
      <c r="E967" s="569"/>
    </row>
    <row r="968">
      <c r="D968" s="569"/>
      <c r="E968" s="569"/>
    </row>
    <row r="969">
      <c r="D969" s="569"/>
      <c r="E969" s="569"/>
    </row>
    <row r="970">
      <c r="D970" s="569"/>
      <c r="E970" s="569"/>
    </row>
    <row r="971">
      <c r="D971" s="569"/>
      <c r="E971" s="569"/>
    </row>
    <row r="972">
      <c r="D972" s="569"/>
      <c r="E972" s="569"/>
    </row>
    <row r="973">
      <c r="D973" s="569"/>
      <c r="E973" s="569"/>
    </row>
    <row r="974">
      <c r="D974" s="569"/>
      <c r="E974" s="569"/>
    </row>
    <row r="975">
      <c r="D975" s="569"/>
      <c r="E975" s="569"/>
    </row>
    <row r="976">
      <c r="D976" s="569"/>
      <c r="E976" s="569"/>
    </row>
    <row r="977">
      <c r="D977" s="569"/>
      <c r="E977" s="569"/>
    </row>
    <row r="978">
      <c r="D978" s="569"/>
      <c r="E978" s="569"/>
    </row>
    <row r="979">
      <c r="D979" s="569"/>
      <c r="E979" s="569"/>
    </row>
    <row r="980">
      <c r="D980" s="569"/>
      <c r="E980" s="569"/>
    </row>
    <row r="981">
      <c r="D981" s="569"/>
      <c r="E981" s="569"/>
    </row>
    <row r="982">
      <c r="D982" s="569"/>
      <c r="E982" s="569"/>
    </row>
    <row r="983">
      <c r="D983" s="569"/>
      <c r="E983" s="569"/>
    </row>
    <row r="984">
      <c r="D984" s="569"/>
      <c r="E984" s="569"/>
    </row>
    <row r="985">
      <c r="D985" s="569"/>
      <c r="E985" s="569"/>
    </row>
    <row r="986">
      <c r="D986" s="569"/>
      <c r="E986" s="569"/>
    </row>
    <row r="987">
      <c r="D987" s="569"/>
      <c r="E987" s="569"/>
    </row>
    <row r="988">
      <c r="D988" s="569"/>
      <c r="E988" s="569"/>
    </row>
    <row r="989">
      <c r="D989" s="569"/>
      <c r="E989" s="569"/>
    </row>
    <row r="990">
      <c r="D990" s="569"/>
      <c r="E990" s="569"/>
    </row>
    <row r="991">
      <c r="D991" s="569"/>
      <c r="E991" s="569"/>
    </row>
    <row r="992">
      <c r="D992" s="569"/>
      <c r="E992" s="569"/>
    </row>
    <row r="993">
      <c r="D993" s="569"/>
      <c r="E993" s="569"/>
    </row>
    <row r="994">
      <c r="D994" s="569"/>
      <c r="E994" s="569"/>
    </row>
    <row r="995">
      <c r="D995" s="569"/>
      <c r="E995" s="569"/>
    </row>
    <row r="996">
      <c r="D996" s="569"/>
      <c r="E996" s="569"/>
    </row>
    <row r="997">
      <c r="D997" s="569"/>
      <c r="E997" s="569"/>
    </row>
    <row r="998">
      <c r="D998" s="569"/>
      <c r="E998" s="569"/>
    </row>
    <row r="999">
      <c r="D999" s="569"/>
      <c r="E999" s="569"/>
    </row>
    <row r="1000">
      <c r="D1000" s="569"/>
      <c r="E1000" s="569"/>
    </row>
    <row r="1001">
      <c r="D1001" s="569"/>
      <c r="E1001" s="569"/>
    </row>
    <row r="1002">
      <c r="D1002" s="569"/>
      <c r="E1002" s="569"/>
    </row>
    <row r="1003">
      <c r="D1003" s="569"/>
      <c r="E1003" s="569"/>
    </row>
    <row r="1004">
      <c r="D1004" s="569"/>
      <c r="E1004" s="569"/>
    </row>
    <row r="1005">
      <c r="D1005" s="569"/>
      <c r="E1005" s="569"/>
    </row>
    <row r="1006">
      <c r="D1006" s="569"/>
      <c r="E1006" s="569"/>
    </row>
    <row r="1007">
      <c r="D1007" s="569"/>
      <c r="E1007" s="569"/>
    </row>
    <row r="1008">
      <c r="D1008" s="569"/>
      <c r="E1008" s="569"/>
    </row>
    <row r="1009">
      <c r="D1009" s="569"/>
      <c r="E1009" s="569"/>
    </row>
    <row r="1010">
      <c r="D1010" s="569"/>
      <c r="E1010" s="569"/>
    </row>
    <row r="1011">
      <c r="D1011" s="569"/>
      <c r="E1011" s="569"/>
    </row>
    <row r="1012">
      <c r="D1012" s="569"/>
      <c r="E1012" s="569"/>
    </row>
    <row r="1013">
      <c r="D1013" s="569"/>
      <c r="E1013" s="569"/>
    </row>
    <row r="1014">
      <c r="D1014" s="569"/>
      <c r="E1014" s="569"/>
    </row>
    <row r="1015">
      <c r="D1015" s="569"/>
      <c r="E1015" s="569"/>
    </row>
    <row r="1016">
      <c r="D1016" s="569"/>
      <c r="E1016" s="569"/>
    </row>
    <row r="1017">
      <c r="D1017" s="569"/>
      <c r="E1017" s="569"/>
    </row>
    <row r="1018">
      <c r="D1018" s="569"/>
      <c r="E1018" s="569"/>
    </row>
    <row r="1019">
      <c r="D1019" s="569"/>
      <c r="E1019" s="569"/>
    </row>
    <row r="1020">
      <c r="D1020" s="569"/>
      <c r="E1020" s="569"/>
    </row>
    <row r="1021">
      <c r="D1021" s="569"/>
      <c r="E1021" s="569"/>
    </row>
    <row r="1022">
      <c r="D1022" s="569"/>
      <c r="E1022" s="569"/>
    </row>
    <row r="1023">
      <c r="D1023" s="569"/>
      <c r="E1023" s="569"/>
    </row>
    <row r="1024">
      <c r="D1024" s="569"/>
      <c r="E1024" s="569"/>
    </row>
    <row r="1025">
      <c r="D1025" s="569"/>
      <c r="E1025" s="569"/>
    </row>
    <row r="1026">
      <c r="D1026" s="569"/>
      <c r="E1026" s="569"/>
    </row>
    <row r="1027">
      <c r="D1027" s="569"/>
      <c r="E1027" s="569"/>
    </row>
    <row r="1028">
      <c r="D1028" s="569"/>
      <c r="E1028" s="569"/>
    </row>
    <row r="1029">
      <c r="D1029" s="569"/>
      <c r="E1029" s="569"/>
    </row>
    <row r="1030">
      <c r="D1030" s="569"/>
      <c r="E1030" s="569"/>
    </row>
    <row r="1031">
      <c r="D1031" s="569"/>
      <c r="E1031" s="569"/>
    </row>
    <row r="1032">
      <c r="D1032" s="569"/>
      <c r="E1032" s="569"/>
    </row>
    <row r="1033">
      <c r="D1033" s="569"/>
      <c r="E1033" s="569"/>
    </row>
    <row r="1034">
      <c r="D1034" s="569"/>
      <c r="E1034" s="569"/>
    </row>
    <row r="1035">
      <c r="D1035" s="569"/>
      <c r="E1035" s="569"/>
    </row>
    <row r="1036">
      <c r="D1036" s="569"/>
      <c r="E1036" s="569"/>
    </row>
    <row r="1037">
      <c r="D1037" s="569"/>
      <c r="E1037" s="569"/>
    </row>
    <row r="1038">
      <c r="D1038" s="569"/>
      <c r="E1038" s="569"/>
    </row>
    <row r="1039">
      <c r="D1039" s="569"/>
      <c r="E1039" s="569"/>
    </row>
    <row r="1040">
      <c r="D1040" s="569"/>
      <c r="E1040" s="569"/>
    </row>
    <row r="1041">
      <c r="D1041" s="569"/>
      <c r="E1041" s="569"/>
    </row>
    <row r="1042">
      <c r="D1042" s="569"/>
      <c r="E1042" s="569"/>
    </row>
    <row r="1043">
      <c r="D1043" s="569"/>
      <c r="E1043" s="569"/>
    </row>
    <row r="1044">
      <c r="D1044" s="569"/>
      <c r="E1044" s="569"/>
    </row>
    <row r="1045">
      <c r="D1045" s="569"/>
      <c r="E1045" s="569"/>
    </row>
    <row r="1046">
      <c r="D1046" s="569"/>
      <c r="E1046" s="569"/>
    </row>
    <row r="1047">
      <c r="D1047" s="569"/>
      <c r="E1047" s="569"/>
    </row>
    <row r="1048">
      <c r="D1048" s="569"/>
      <c r="E1048" s="569"/>
    </row>
    <row r="1049">
      <c r="D1049" s="569"/>
      <c r="E1049" s="569"/>
    </row>
    <row r="1050">
      <c r="D1050" s="569"/>
      <c r="E1050" s="569"/>
    </row>
    <row r="1051">
      <c r="D1051" s="569"/>
      <c r="E1051" s="569"/>
    </row>
    <row r="1052">
      <c r="D1052" s="569"/>
      <c r="E1052" s="569"/>
    </row>
    <row r="1053">
      <c r="D1053" s="569"/>
      <c r="E1053" s="569"/>
    </row>
    <row r="1054">
      <c r="D1054" s="569"/>
      <c r="E1054" s="569"/>
    </row>
    <row r="1055">
      <c r="D1055" s="569"/>
      <c r="E1055" s="569"/>
    </row>
    <row r="1056">
      <c r="D1056" s="569"/>
      <c r="E1056" s="569"/>
    </row>
    <row r="1057">
      <c r="D1057" s="569"/>
      <c r="E1057" s="569"/>
    </row>
    <row r="1058">
      <c r="D1058" s="569"/>
      <c r="E1058" s="569"/>
    </row>
    <row r="1059">
      <c r="D1059" s="569"/>
      <c r="E1059" s="569"/>
    </row>
    <row r="1060">
      <c r="D1060" s="569"/>
      <c r="E1060" s="569"/>
    </row>
    <row r="1061">
      <c r="D1061" s="569"/>
      <c r="E1061" s="569"/>
    </row>
    <row r="1062">
      <c r="D1062" s="569"/>
      <c r="E1062" s="569"/>
    </row>
    <row r="1063">
      <c r="D1063" s="569"/>
      <c r="E1063" s="569"/>
    </row>
    <row r="1064">
      <c r="D1064" s="569"/>
      <c r="E1064" s="569"/>
    </row>
    <row r="1065">
      <c r="D1065" s="569"/>
      <c r="E1065" s="569"/>
    </row>
    <row r="1066">
      <c r="D1066" s="569"/>
      <c r="E1066" s="569"/>
    </row>
    <row r="1067">
      <c r="D1067" s="569"/>
      <c r="E1067" s="569"/>
    </row>
    <row r="1068">
      <c r="D1068" s="569"/>
      <c r="E1068" s="569"/>
    </row>
    <row r="1069">
      <c r="D1069" s="569"/>
      <c r="E1069" s="569"/>
    </row>
    <row r="1070">
      <c r="D1070" s="569"/>
      <c r="E1070" s="569"/>
    </row>
    <row r="1071">
      <c r="D1071" s="569"/>
      <c r="E1071" s="569"/>
    </row>
    <row r="1072">
      <c r="D1072" s="569"/>
      <c r="E1072" s="569"/>
    </row>
    <row r="1073">
      <c r="D1073" s="569"/>
      <c r="E1073" s="569"/>
    </row>
    <row r="1074">
      <c r="D1074" s="569"/>
      <c r="E1074" s="569"/>
    </row>
    <row r="1075">
      <c r="D1075" s="569"/>
      <c r="E1075" s="569"/>
    </row>
    <row r="1076">
      <c r="D1076" s="569"/>
      <c r="E1076" s="569"/>
    </row>
    <row r="1077">
      <c r="D1077" s="569"/>
      <c r="E1077" s="569"/>
    </row>
    <row r="1078">
      <c r="D1078" s="569"/>
      <c r="E1078" s="569"/>
    </row>
    <row r="1079">
      <c r="D1079" s="569"/>
      <c r="E1079" s="569"/>
    </row>
    <row r="1080">
      <c r="D1080" s="569"/>
      <c r="E1080" s="569"/>
    </row>
    <row r="1081">
      <c r="D1081" s="569"/>
      <c r="E1081" s="569"/>
    </row>
    <row r="1082">
      <c r="D1082" s="569"/>
      <c r="E1082" s="569"/>
    </row>
    <row r="1083">
      <c r="D1083" s="569"/>
      <c r="E1083" s="569"/>
    </row>
    <row r="1084">
      <c r="D1084" s="569"/>
      <c r="E1084" s="569"/>
    </row>
    <row r="1085">
      <c r="D1085" s="569"/>
      <c r="E1085" s="569"/>
    </row>
    <row r="1086">
      <c r="D1086" s="569"/>
      <c r="E1086" s="569"/>
    </row>
    <row r="1087">
      <c r="D1087" s="569"/>
      <c r="E1087" s="569"/>
    </row>
    <row r="1088">
      <c r="D1088" s="569"/>
      <c r="E1088" s="569"/>
    </row>
    <row r="1089">
      <c r="D1089" s="569"/>
      <c r="E1089" s="569"/>
    </row>
    <row r="1090">
      <c r="D1090" s="569"/>
      <c r="E1090" s="569"/>
    </row>
    <row r="1091">
      <c r="D1091" s="569"/>
      <c r="E1091" s="569"/>
    </row>
    <row r="1092">
      <c r="D1092" s="569"/>
      <c r="E1092" s="569"/>
    </row>
    <row r="1093">
      <c r="D1093" s="569"/>
      <c r="E1093" s="569"/>
    </row>
    <row r="1094">
      <c r="D1094" s="569"/>
      <c r="E1094" s="569"/>
    </row>
    <row r="1095">
      <c r="D1095" s="569"/>
      <c r="E1095" s="569"/>
    </row>
    <row r="1096">
      <c r="D1096" s="569"/>
      <c r="E1096" s="569"/>
    </row>
    <row r="1097">
      <c r="D1097" s="569"/>
      <c r="E1097" s="569"/>
    </row>
    <row r="1098">
      <c r="D1098" s="569"/>
      <c r="E1098" s="569"/>
    </row>
    <row r="1099">
      <c r="D1099" s="569"/>
      <c r="E1099" s="569"/>
    </row>
    <row r="1100">
      <c r="D1100" s="569"/>
      <c r="E1100" s="569"/>
    </row>
    <row r="1101">
      <c r="D1101" s="569"/>
      <c r="E1101" s="569"/>
    </row>
    <row r="1102">
      <c r="D1102" s="569"/>
      <c r="E1102" s="569"/>
    </row>
    <row r="1103">
      <c r="D1103" s="569"/>
      <c r="E1103" s="569"/>
    </row>
    <row r="1104">
      <c r="D1104" s="569"/>
      <c r="E1104" s="569"/>
    </row>
    <row r="1105">
      <c r="D1105" s="569"/>
      <c r="E1105" s="569"/>
    </row>
    <row r="1106">
      <c r="D1106" s="569"/>
      <c r="E1106" s="569"/>
    </row>
    <row r="1107">
      <c r="D1107" s="569"/>
      <c r="E1107" s="569"/>
    </row>
    <row r="1108">
      <c r="D1108" s="569"/>
      <c r="E1108" s="569"/>
    </row>
    <row r="1109">
      <c r="D1109" s="569"/>
      <c r="E1109" s="569"/>
    </row>
    <row r="1110">
      <c r="D1110" s="569"/>
      <c r="E1110" s="569"/>
    </row>
    <row r="1111">
      <c r="D1111" s="569"/>
      <c r="E1111" s="569"/>
    </row>
    <row r="1112">
      <c r="D1112" s="569"/>
      <c r="E1112" s="569"/>
    </row>
    <row r="1113">
      <c r="D1113" s="569"/>
      <c r="E1113" s="569"/>
    </row>
    <row r="1114">
      <c r="D1114" s="569"/>
      <c r="E1114" s="569"/>
    </row>
    <row r="1115">
      <c r="D1115" s="569"/>
      <c r="E1115" s="569"/>
    </row>
    <row r="1116">
      <c r="D1116" s="569"/>
      <c r="E1116" s="569"/>
    </row>
    <row r="1117">
      <c r="D1117" s="569"/>
      <c r="E1117" s="569"/>
    </row>
    <row r="1118">
      <c r="D1118" s="569"/>
      <c r="E1118" s="569"/>
    </row>
    <row r="1119">
      <c r="D1119" s="569"/>
      <c r="E1119" s="569"/>
    </row>
    <row r="1120">
      <c r="D1120" s="569"/>
      <c r="E1120" s="569"/>
    </row>
    <row r="1121">
      <c r="D1121" s="569"/>
      <c r="E1121" s="569"/>
    </row>
    <row r="1122">
      <c r="D1122" s="569"/>
      <c r="E1122" s="569"/>
    </row>
    <row r="1123">
      <c r="D1123" s="569"/>
      <c r="E1123" s="569"/>
    </row>
    <row r="1124">
      <c r="D1124" s="569"/>
      <c r="E1124" s="569"/>
    </row>
    <row r="1125">
      <c r="D1125" s="569"/>
      <c r="E1125" s="569"/>
    </row>
    <row r="1126">
      <c r="D1126" s="569"/>
      <c r="E1126" s="569"/>
    </row>
    <row r="1127">
      <c r="D1127" s="569"/>
      <c r="E1127" s="569"/>
    </row>
    <row r="1128">
      <c r="D1128" s="569"/>
      <c r="E1128" s="569"/>
    </row>
    <row r="1129">
      <c r="D1129" s="569"/>
      <c r="E1129" s="569"/>
    </row>
    <row r="1130">
      <c r="D1130" s="569"/>
      <c r="E1130" s="569"/>
    </row>
    <row r="1131">
      <c r="D1131" s="569"/>
      <c r="E1131" s="569"/>
    </row>
    <row r="1132">
      <c r="D1132" s="569"/>
      <c r="E1132" s="569"/>
    </row>
    <row r="1133">
      <c r="D1133" s="569"/>
      <c r="E1133" s="569"/>
    </row>
    <row r="1134">
      <c r="D1134" s="569"/>
      <c r="E1134" s="569"/>
    </row>
    <row r="1135">
      <c r="D1135" s="569"/>
      <c r="E1135" s="569"/>
    </row>
    <row r="1136">
      <c r="D1136" s="569"/>
      <c r="E1136" s="569"/>
    </row>
    <row r="1137">
      <c r="D1137" s="569"/>
      <c r="E1137" s="569"/>
    </row>
    <row r="1138">
      <c r="D1138" s="569"/>
      <c r="E1138" s="569"/>
    </row>
    <row r="1139">
      <c r="D1139" s="569"/>
      <c r="E1139" s="569"/>
    </row>
    <row r="1140">
      <c r="D1140" s="569"/>
      <c r="E1140" s="569"/>
    </row>
    <row r="1141">
      <c r="D1141" s="569"/>
      <c r="E1141" s="569"/>
    </row>
    <row r="1142">
      <c r="D1142" s="569"/>
      <c r="E1142" s="569"/>
    </row>
    <row r="1143">
      <c r="D1143" s="569"/>
      <c r="E1143" s="569"/>
    </row>
    <row r="1144">
      <c r="D1144" s="569"/>
      <c r="E1144" s="569"/>
    </row>
    <row r="1145">
      <c r="D1145" s="569"/>
      <c r="E1145" s="569"/>
    </row>
    <row r="1146">
      <c r="D1146" s="569"/>
      <c r="E1146" s="569"/>
    </row>
    <row r="1147">
      <c r="D1147" s="569"/>
      <c r="E1147" s="569"/>
    </row>
    <row r="1148">
      <c r="D1148" s="569"/>
      <c r="E1148" s="569"/>
    </row>
    <row r="1149">
      <c r="D1149" s="569"/>
      <c r="E1149" s="569"/>
    </row>
    <row r="1150">
      <c r="D1150" s="569"/>
      <c r="E1150" s="569"/>
    </row>
    <row r="1151">
      <c r="D1151" s="569"/>
      <c r="E1151" s="569"/>
    </row>
    <row r="1152">
      <c r="D1152" s="569"/>
      <c r="E1152" s="569"/>
    </row>
    <row r="1153">
      <c r="D1153" s="569"/>
      <c r="E1153" s="569"/>
    </row>
    <row r="1154">
      <c r="D1154" s="569"/>
      <c r="E1154" s="569"/>
    </row>
    <row r="1155">
      <c r="D1155" s="569"/>
      <c r="E1155" s="569"/>
    </row>
    <row r="1156">
      <c r="D1156" s="569"/>
      <c r="E1156" s="569"/>
    </row>
    <row r="1157">
      <c r="D1157" s="569"/>
      <c r="E1157" s="569"/>
    </row>
    <row r="1158">
      <c r="D1158" s="569"/>
      <c r="E1158" s="569"/>
    </row>
    <row r="1159">
      <c r="D1159" s="569"/>
      <c r="E1159" s="569"/>
    </row>
    <row r="1160">
      <c r="D1160" s="569"/>
      <c r="E1160" s="569"/>
    </row>
    <row r="1161">
      <c r="D1161" s="569"/>
      <c r="E1161" s="569"/>
    </row>
    <row r="1162">
      <c r="D1162" s="569"/>
      <c r="E1162" s="569"/>
    </row>
    <row r="1163">
      <c r="D1163" s="569"/>
      <c r="E1163" s="569"/>
    </row>
    <row r="1164">
      <c r="D1164" s="569"/>
      <c r="E1164" s="569"/>
    </row>
    <row r="1165">
      <c r="D1165" s="569"/>
      <c r="E1165" s="569"/>
    </row>
    <row r="1166">
      <c r="D1166" s="569"/>
      <c r="E1166" s="569"/>
    </row>
    <row r="1167">
      <c r="D1167" s="569"/>
      <c r="E1167" s="569"/>
    </row>
    <row r="1168">
      <c r="D1168" s="569"/>
      <c r="E1168" s="569"/>
    </row>
    <row r="1169">
      <c r="D1169" s="569"/>
      <c r="E1169" s="569"/>
    </row>
    <row r="1170">
      <c r="D1170" s="569"/>
      <c r="E1170" s="569"/>
    </row>
    <row r="1171">
      <c r="D1171" s="569"/>
      <c r="E1171" s="569"/>
    </row>
    <row r="1172">
      <c r="D1172" s="569"/>
      <c r="E1172" s="569"/>
    </row>
    <row r="1173">
      <c r="D1173" s="569"/>
      <c r="E1173" s="569"/>
    </row>
    <row r="1174">
      <c r="D1174" s="569"/>
      <c r="E1174" s="569"/>
    </row>
    <row r="1175">
      <c r="D1175" s="569"/>
      <c r="E1175" s="569"/>
    </row>
    <row r="1176">
      <c r="D1176" s="569"/>
      <c r="E1176" s="569"/>
    </row>
    <row r="1177">
      <c r="D1177" s="569"/>
      <c r="E1177" s="569"/>
    </row>
    <row r="1178">
      <c r="D1178" s="569"/>
      <c r="E1178" s="569"/>
    </row>
    <row r="1179">
      <c r="D1179" s="569"/>
      <c r="E1179" s="569"/>
    </row>
    <row r="1180">
      <c r="D1180" s="569"/>
      <c r="E1180" s="569"/>
    </row>
    <row r="1181">
      <c r="D1181" s="569"/>
      <c r="E1181" s="569"/>
    </row>
    <row r="1182">
      <c r="D1182" s="569"/>
      <c r="E1182" s="569"/>
    </row>
    <row r="1183">
      <c r="D1183" s="569"/>
      <c r="E1183" s="569"/>
    </row>
    <row r="1184">
      <c r="D1184" s="569"/>
      <c r="E1184" s="569"/>
    </row>
    <row r="1185">
      <c r="D1185" s="569"/>
      <c r="E1185" s="569"/>
    </row>
    <row r="1186">
      <c r="D1186" s="569"/>
      <c r="E1186" s="569"/>
    </row>
    <row r="1187">
      <c r="D1187" s="569"/>
      <c r="E1187" s="569"/>
    </row>
    <row r="1188">
      <c r="D1188" s="569"/>
      <c r="E1188" s="569"/>
    </row>
    <row r="1189">
      <c r="D1189" s="569"/>
      <c r="E1189" s="569"/>
    </row>
    <row r="1190">
      <c r="D1190" s="569"/>
      <c r="E1190" s="569"/>
    </row>
    <row r="1191">
      <c r="D1191" s="569"/>
      <c r="E1191" s="569"/>
    </row>
    <row r="1192">
      <c r="D1192" s="569"/>
      <c r="E1192" s="569"/>
    </row>
    <row r="1193">
      <c r="D1193" s="569"/>
      <c r="E1193" s="569"/>
    </row>
    <row r="1194">
      <c r="D1194" s="569"/>
      <c r="E1194" s="569"/>
    </row>
    <row r="1195">
      <c r="D1195" s="569"/>
      <c r="E1195" s="569"/>
    </row>
    <row r="1196">
      <c r="D1196" s="569"/>
      <c r="E1196" s="569"/>
    </row>
    <row r="1197">
      <c r="D1197" s="569"/>
      <c r="E1197" s="569"/>
    </row>
    <row r="1198">
      <c r="D1198" s="569"/>
      <c r="E1198" s="569"/>
    </row>
    <row r="1199">
      <c r="D1199" s="569"/>
      <c r="E1199" s="569"/>
    </row>
    <row r="1200">
      <c r="D1200" s="569"/>
      <c r="E1200" s="569"/>
    </row>
    <row r="1201">
      <c r="D1201" s="569"/>
      <c r="E1201" s="569"/>
    </row>
    <row r="1202">
      <c r="D1202" s="569"/>
      <c r="E1202" s="569"/>
    </row>
    <row r="1203">
      <c r="D1203" s="569"/>
      <c r="E1203" s="569"/>
    </row>
    <row r="1204">
      <c r="D1204" s="569"/>
      <c r="E1204" s="569"/>
    </row>
    <row r="1205">
      <c r="D1205" s="569"/>
      <c r="E1205" s="569"/>
    </row>
    <row r="1206">
      <c r="D1206" s="569"/>
      <c r="E1206" s="569"/>
    </row>
    <row r="1207">
      <c r="D1207" s="569"/>
      <c r="E1207" s="569"/>
    </row>
    <row r="1208">
      <c r="D1208" s="569"/>
      <c r="E1208" s="569"/>
    </row>
    <row r="1209">
      <c r="D1209" s="569"/>
      <c r="E1209" s="569"/>
    </row>
    <row r="1210">
      <c r="D1210" s="569"/>
      <c r="E1210" s="569"/>
    </row>
    <row r="1211">
      <c r="D1211" s="569"/>
      <c r="E1211" s="569"/>
    </row>
    <row r="1212">
      <c r="D1212" s="569"/>
      <c r="E1212" s="569"/>
    </row>
    <row r="1213">
      <c r="D1213" s="569"/>
      <c r="E1213" s="569"/>
    </row>
    <row r="1214">
      <c r="D1214" s="569"/>
      <c r="E1214" s="569"/>
    </row>
    <row r="1215">
      <c r="D1215" s="569"/>
      <c r="E1215" s="569"/>
    </row>
    <row r="1216">
      <c r="D1216" s="569"/>
      <c r="E1216" s="569"/>
    </row>
    <row r="1217">
      <c r="D1217" s="569"/>
      <c r="E1217" s="569"/>
    </row>
    <row r="1218">
      <c r="D1218" s="569"/>
      <c r="E1218" s="569"/>
    </row>
    <row r="1219">
      <c r="D1219" s="569"/>
      <c r="E1219" s="569"/>
    </row>
    <row r="1220">
      <c r="D1220" s="569"/>
      <c r="E1220" s="569"/>
    </row>
    <row r="1221">
      <c r="D1221" s="569"/>
      <c r="E1221" s="569"/>
    </row>
    <row r="1222">
      <c r="D1222" s="569"/>
      <c r="E1222" s="569"/>
    </row>
    <row r="1223">
      <c r="D1223" s="569"/>
      <c r="E1223" s="569"/>
    </row>
    <row r="1224">
      <c r="D1224" s="569"/>
      <c r="E1224" s="569"/>
    </row>
    <row r="1225">
      <c r="D1225" s="569"/>
      <c r="E1225" s="569"/>
    </row>
    <row r="1226">
      <c r="D1226" s="569"/>
      <c r="E1226" s="569"/>
    </row>
    <row r="1227">
      <c r="D1227" s="569"/>
      <c r="E1227" s="569"/>
    </row>
    <row r="1228">
      <c r="D1228" s="569"/>
      <c r="E1228" s="569"/>
    </row>
    <row r="1229">
      <c r="D1229" s="569"/>
      <c r="E1229" s="569"/>
    </row>
    <row r="1230">
      <c r="D1230" s="569"/>
      <c r="E1230" s="569"/>
    </row>
    <row r="1231">
      <c r="D1231" s="569"/>
      <c r="E1231" s="569"/>
    </row>
    <row r="1232">
      <c r="D1232" s="569"/>
      <c r="E1232" s="569"/>
    </row>
    <row r="1233">
      <c r="D1233" s="569"/>
      <c r="E1233" s="569"/>
    </row>
    <row r="1234">
      <c r="D1234" s="569"/>
      <c r="E1234" s="569"/>
    </row>
    <row r="1235">
      <c r="D1235" s="569"/>
      <c r="E1235" s="569"/>
    </row>
    <row r="1236">
      <c r="D1236" s="569"/>
      <c r="E1236" s="569"/>
    </row>
    <row r="1237">
      <c r="D1237" s="569"/>
      <c r="E1237" s="569"/>
    </row>
    <row r="1238">
      <c r="D1238" s="569"/>
      <c r="E1238" s="569"/>
    </row>
    <row r="1239">
      <c r="D1239" s="569"/>
      <c r="E1239" s="569"/>
    </row>
    <row r="1240">
      <c r="D1240" s="569"/>
      <c r="E1240" s="569"/>
    </row>
    <row r="1241">
      <c r="D1241" s="569"/>
      <c r="E1241" s="569"/>
    </row>
    <row r="1242">
      <c r="D1242" s="569"/>
      <c r="E1242" s="569"/>
    </row>
    <row r="1243">
      <c r="D1243" s="569"/>
      <c r="E1243" s="569"/>
    </row>
    <row r="1244">
      <c r="D1244" s="569"/>
      <c r="E1244" s="569"/>
    </row>
    <row r="1245">
      <c r="D1245" s="569"/>
      <c r="E1245" s="569"/>
    </row>
    <row r="1246">
      <c r="D1246" s="569"/>
      <c r="E1246" s="569"/>
    </row>
    <row r="1247">
      <c r="D1247" s="569"/>
      <c r="E1247" s="569"/>
    </row>
    <row r="1248">
      <c r="D1248" s="569"/>
      <c r="E1248" s="569"/>
    </row>
    <row r="1249">
      <c r="D1249" s="569"/>
      <c r="E1249" s="569"/>
    </row>
    <row r="1250">
      <c r="D1250" s="569"/>
      <c r="E1250" s="569"/>
    </row>
    <row r="1251">
      <c r="D1251" s="569"/>
      <c r="E1251" s="569"/>
    </row>
    <row r="1252">
      <c r="D1252" s="569"/>
      <c r="E1252" s="569"/>
    </row>
    <row r="1253">
      <c r="D1253" s="569"/>
      <c r="E1253" s="569"/>
    </row>
    <row r="1254">
      <c r="D1254" s="569"/>
      <c r="E1254" s="569"/>
    </row>
    <row r="1255">
      <c r="D1255" s="569"/>
      <c r="E1255" s="569"/>
    </row>
    <row r="1256">
      <c r="D1256" s="569"/>
      <c r="E1256" s="569"/>
    </row>
    <row r="1257">
      <c r="D1257" s="569"/>
      <c r="E1257" s="569"/>
    </row>
    <row r="1258">
      <c r="D1258" s="569"/>
      <c r="E1258" s="569"/>
    </row>
    <row r="1259">
      <c r="D1259" s="569"/>
      <c r="E1259" s="569"/>
    </row>
    <row r="1260">
      <c r="D1260" s="569"/>
      <c r="E1260" s="569"/>
    </row>
    <row r="1261">
      <c r="D1261" s="569"/>
      <c r="E1261" s="569"/>
    </row>
    <row r="1262">
      <c r="D1262" s="569"/>
      <c r="E1262" s="569"/>
    </row>
    <row r="1263">
      <c r="D1263" s="569"/>
      <c r="E1263" s="569"/>
    </row>
    <row r="1264">
      <c r="D1264" s="569"/>
      <c r="E1264" s="569"/>
    </row>
    <row r="1265">
      <c r="D1265" s="569"/>
      <c r="E1265" s="569"/>
    </row>
    <row r="1266">
      <c r="D1266" s="569"/>
      <c r="E1266" s="569"/>
    </row>
    <row r="1267">
      <c r="D1267" s="569"/>
      <c r="E1267" s="569"/>
    </row>
    <row r="1268">
      <c r="D1268" s="569"/>
      <c r="E1268" s="569"/>
    </row>
    <row r="1269">
      <c r="D1269" s="569"/>
      <c r="E1269" s="569"/>
    </row>
    <row r="1270">
      <c r="D1270" s="569"/>
      <c r="E1270" s="569"/>
    </row>
    <row r="1271">
      <c r="D1271" s="569"/>
      <c r="E1271" s="569"/>
    </row>
    <row r="1272">
      <c r="D1272" s="569"/>
      <c r="E1272" s="569"/>
    </row>
    <row r="1273">
      <c r="D1273" s="569"/>
      <c r="E1273" s="569"/>
    </row>
    <row r="1274">
      <c r="D1274" s="569"/>
      <c r="E1274" s="569"/>
    </row>
    <row r="1275">
      <c r="D1275" s="569"/>
      <c r="E1275" s="569"/>
    </row>
    <row r="1276">
      <c r="D1276" s="569"/>
      <c r="E1276" s="569"/>
    </row>
    <row r="1277">
      <c r="D1277" s="569"/>
      <c r="E1277" s="569"/>
    </row>
    <row r="1278">
      <c r="D1278" s="569"/>
      <c r="E1278" s="569"/>
    </row>
    <row r="1279">
      <c r="D1279" s="569"/>
      <c r="E1279" s="569"/>
    </row>
    <row r="1280">
      <c r="D1280" s="569"/>
      <c r="E1280" s="569"/>
    </row>
    <row r="1281">
      <c r="D1281" s="569"/>
      <c r="E1281" s="569"/>
    </row>
    <row r="1282">
      <c r="D1282" s="569"/>
      <c r="E1282" s="569"/>
    </row>
    <row r="1283">
      <c r="D1283" s="569"/>
      <c r="E1283" s="569"/>
    </row>
    <row r="1284">
      <c r="D1284" s="569"/>
      <c r="E1284" s="569"/>
    </row>
    <row r="1285">
      <c r="D1285" s="569"/>
      <c r="E1285" s="569"/>
    </row>
    <row r="1286">
      <c r="D1286" s="569"/>
      <c r="E1286" s="569"/>
    </row>
    <row r="1287">
      <c r="D1287" s="569"/>
      <c r="E1287" s="569"/>
    </row>
    <row r="1288">
      <c r="D1288" s="569"/>
      <c r="E1288" s="569"/>
    </row>
    <row r="1289">
      <c r="D1289" s="569"/>
      <c r="E1289" s="569"/>
    </row>
    <row r="1290">
      <c r="D1290" s="569"/>
      <c r="E1290" s="569"/>
    </row>
    <row r="1291">
      <c r="D1291" s="569"/>
      <c r="E1291" s="569"/>
    </row>
    <row r="1292">
      <c r="D1292" s="569"/>
      <c r="E1292" s="569"/>
    </row>
    <row r="1293">
      <c r="D1293" s="569"/>
      <c r="E1293" s="569"/>
    </row>
    <row r="1294">
      <c r="D1294" s="569"/>
      <c r="E1294" s="569"/>
    </row>
    <row r="1295">
      <c r="D1295" s="569"/>
      <c r="E1295" s="569"/>
    </row>
    <row r="1296">
      <c r="D1296" s="569"/>
      <c r="E1296" s="569"/>
    </row>
    <row r="1297">
      <c r="D1297" s="569"/>
      <c r="E1297" s="569"/>
    </row>
    <row r="1298">
      <c r="D1298" s="569"/>
      <c r="E1298" s="569"/>
    </row>
    <row r="1299">
      <c r="D1299" s="569"/>
      <c r="E1299" s="569"/>
    </row>
    <row r="1300">
      <c r="D1300" s="569"/>
      <c r="E1300" s="569"/>
    </row>
    <row r="1301">
      <c r="D1301" s="569"/>
      <c r="E1301" s="569"/>
    </row>
    <row r="1302">
      <c r="D1302" s="569"/>
      <c r="E1302" s="569"/>
    </row>
    <row r="1303">
      <c r="D1303" s="569"/>
      <c r="E1303" s="569"/>
    </row>
    <row r="1304">
      <c r="D1304" s="569"/>
      <c r="E1304" s="569"/>
    </row>
    <row r="1305">
      <c r="D1305" s="569"/>
      <c r="E1305" s="569"/>
    </row>
    <row r="1306">
      <c r="D1306" s="569"/>
      <c r="E1306" s="569"/>
    </row>
    <row r="1307">
      <c r="D1307" s="569"/>
      <c r="E1307" s="569"/>
    </row>
    <row r="1308">
      <c r="D1308" s="569"/>
      <c r="E1308" s="569"/>
    </row>
    <row r="1309">
      <c r="D1309" s="569"/>
      <c r="E1309" s="569"/>
    </row>
    <row r="1310">
      <c r="D1310" s="569"/>
      <c r="E1310" s="569"/>
    </row>
    <row r="1311">
      <c r="D1311" s="569"/>
      <c r="E1311" s="569"/>
    </row>
    <row r="1312">
      <c r="D1312" s="569"/>
      <c r="E1312" s="569"/>
    </row>
    <row r="1313">
      <c r="D1313" s="569"/>
      <c r="E1313" s="569"/>
    </row>
    <row r="1314">
      <c r="D1314" s="569"/>
      <c r="E1314" s="569"/>
    </row>
    <row r="1315">
      <c r="D1315" s="569"/>
      <c r="E1315" s="569"/>
    </row>
    <row r="1316">
      <c r="D1316" s="569"/>
      <c r="E1316" s="569"/>
    </row>
    <row r="1317">
      <c r="D1317" s="569"/>
      <c r="E1317" s="569"/>
    </row>
    <row r="1318">
      <c r="D1318" s="569"/>
      <c r="E1318" s="569"/>
    </row>
    <row r="1319">
      <c r="D1319" s="569"/>
      <c r="E1319" s="569"/>
    </row>
    <row r="1320">
      <c r="D1320" s="569"/>
      <c r="E1320" s="569"/>
    </row>
    <row r="1321">
      <c r="D1321" s="569"/>
      <c r="E1321" s="569"/>
    </row>
    <row r="1322">
      <c r="D1322" s="569"/>
      <c r="E1322" s="569"/>
    </row>
    <row r="1323">
      <c r="D1323" s="569"/>
      <c r="E1323" s="569"/>
    </row>
    <row r="1324">
      <c r="D1324" s="569"/>
      <c r="E1324" s="569"/>
    </row>
    <row r="1325">
      <c r="D1325" s="569"/>
      <c r="E1325" s="569"/>
    </row>
    <row r="1326">
      <c r="D1326" s="569"/>
      <c r="E1326" s="569"/>
    </row>
    <row r="1327">
      <c r="D1327" s="569"/>
      <c r="E1327" s="569"/>
    </row>
    <row r="1328">
      <c r="D1328" s="569"/>
      <c r="E1328" s="569"/>
    </row>
    <row r="1329">
      <c r="D1329" s="569"/>
      <c r="E1329" s="569"/>
    </row>
    <row r="1330">
      <c r="D1330" s="569"/>
      <c r="E1330" s="569"/>
    </row>
    <row r="1331">
      <c r="D1331" s="569"/>
      <c r="E1331" s="569"/>
    </row>
    <row r="1332">
      <c r="D1332" s="569"/>
      <c r="E1332" s="569"/>
    </row>
    <row r="1333">
      <c r="D1333" s="569"/>
      <c r="E1333" s="569"/>
    </row>
    <row r="1334">
      <c r="D1334" s="569"/>
      <c r="E1334" s="569"/>
    </row>
    <row r="1335">
      <c r="D1335" s="569"/>
      <c r="E1335" s="569"/>
    </row>
    <row r="1336">
      <c r="D1336" s="569"/>
      <c r="E1336" s="569"/>
    </row>
    <row r="1337">
      <c r="D1337" s="569"/>
      <c r="E1337" s="569"/>
    </row>
    <row r="1338">
      <c r="D1338" s="569"/>
      <c r="E1338" s="569"/>
    </row>
    <row r="1339">
      <c r="D1339" s="569"/>
      <c r="E1339" s="569"/>
    </row>
    <row r="1340">
      <c r="D1340" s="569"/>
      <c r="E1340" s="569"/>
    </row>
    <row r="1341">
      <c r="D1341" s="569"/>
      <c r="E1341" s="569"/>
    </row>
    <row r="1342">
      <c r="D1342" s="569"/>
      <c r="E1342" s="569"/>
    </row>
    <row r="1343">
      <c r="D1343" s="569"/>
      <c r="E1343" s="569"/>
    </row>
    <row r="1344">
      <c r="D1344" s="569"/>
      <c r="E1344" s="569"/>
    </row>
    <row r="1345">
      <c r="D1345" s="569"/>
      <c r="E1345" s="569"/>
    </row>
    <row r="1346">
      <c r="D1346" s="569"/>
      <c r="E1346" s="569"/>
    </row>
    <row r="1347">
      <c r="D1347" s="569"/>
      <c r="E1347" s="569"/>
    </row>
    <row r="1348">
      <c r="D1348" s="569"/>
      <c r="E1348" s="569"/>
    </row>
    <row r="1349">
      <c r="D1349" s="569"/>
      <c r="E1349" s="569"/>
    </row>
    <row r="1350">
      <c r="D1350" s="569"/>
      <c r="E1350" s="569"/>
    </row>
    <row r="1351">
      <c r="D1351" s="569"/>
      <c r="E1351" s="569"/>
    </row>
    <row r="1352">
      <c r="D1352" s="569"/>
      <c r="E1352" s="569"/>
    </row>
    <row r="1353">
      <c r="D1353" s="569"/>
      <c r="E1353" s="569"/>
    </row>
    <row r="1354">
      <c r="D1354" s="569"/>
      <c r="E1354" s="569"/>
    </row>
    <row r="1355">
      <c r="D1355" s="569"/>
      <c r="E1355" s="569"/>
    </row>
    <row r="1356">
      <c r="D1356" s="569"/>
      <c r="E1356" s="569"/>
    </row>
    <row r="1357">
      <c r="D1357" s="569"/>
      <c r="E1357" s="569"/>
    </row>
    <row r="1358">
      <c r="D1358" s="569"/>
      <c r="E1358" s="569"/>
    </row>
    <row r="1359">
      <c r="D1359" s="569"/>
      <c r="E1359" s="569"/>
    </row>
    <row r="1360">
      <c r="D1360" s="569"/>
      <c r="E1360" s="569"/>
    </row>
    <row r="1361">
      <c r="D1361" s="569"/>
      <c r="E1361" s="569"/>
    </row>
    <row r="1362">
      <c r="D1362" s="569"/>
      <c r="E1362" s="569"/>
    </row>
    <row r="1363">
      <c r="D1363" s="569"/>
      <c r="E1363" s="569"/>
    </row>
    <row r="1364">
      <c r="D1364" s="569"/>
      <c r="E1364" s="569"/>
    </row>
    <row r="1365">
      <c r="D1365" s="569"/>
      <c r="E1365" s="569"/>
    </row>
    <row r="1366">
      <c r="D1366" s="569"/>
      <c r="E1366" s="569"/>
    </row>
    <row r="1367">
      <c r="D1367" s="569"/>
      <c r="E1367" s="569"/>
    </row>
    <row r="1368">
      <c r="D1368" s="569"/>
      <c r="E1368" s="569"/>
    </row>
    <row r="1369">
      <c r="D1369" s="569"/>
      <c r="E1369" s="569"/>
    </row>
    <row r="1370">
      <c r="D1370" s="569"/>
      <c r="E1370" s="569"/>
    </row>
    <row r="1371">
      <c r="D1371" s="569"/>
      <c r="E1371" s="569"/>
    </row>
    <row r="1372">
      <c r="D1372" s="569"/>
      <c r="E1372" s="569"/>
    </row>
    <row r="1373">
      <c r="D1373" s="569"/>
      <c r="E1373" s="569"/>
    </row>
    <row r="1374">
      <c r="D1374" s="569"/>
      <c r="E1374" s="569"/>
    </row>
    <row r="1375">
      <c r="D1375" s="569"/>
      <c r="E1375" s="569"/>
    </row>
    <row r="1376">
      <c r="D1376" s="569"/>
      <c r="E1376" s="569"/>
    </row>
    <row r="1377">
      <c r="D1377" s="569"/>
      <c r="E1377" s="569"/>
    </row>
    <row r="1378">
      <c r="D1378" s="569"/>
      <c r="E1378" s="569"/>
    </row>
    <row r="1379">
      <c r="D1379" s="569"/>
      <c r="E1379" s="569"/>
    </row>
    <row r="1380">
      <c r="D1380" s="569"/>
      <c r="E1380" s="569"/>
    </row>
    <row r="1381">
      <c r="D1381" s="569"/>
      <c r="E1381" s="569"/>
    </row>
    <row r="1382">
      <c r="D1382" s="569"/>
      <c r="E1382" s="569"/>
    </row>
    <row r="1383">
      <c r="D1383" s="569"/>
      <c r="E1383" s="569"/>
    </row>
    <row r="1384">
      <c r="D1384" s="569"/>
      <c r="E1384" s="569"/>
    </row>
    <row r="1385">
      <c r="D1385" s="569"/>
      <c r="E1385" s="569"/>
    </row>
    <row r="1386">
      <c r="D1386" s="569"/>
      <c r="E1386" s="569"/>
    </row>
    <row r="1387">
      <c r="D1387" s="569"/>
      <c r="E1387" s="569"/>
    </row>
    <row r="1388">
      <c r="D1388" s="569"/>
      <c r="E1388" s="569"/>
    </row>
    <row r="1389">
      <c r="D1389" s="569"/>
      <c r="E1389" s="569"/>
    </row>
    <row r="1390">
      <c r="D1390" s="569"/>
      <c r="E1390" s="569"/>
    </row>
    <row r="1391">
      <c r="D1391" s="569"/>
      <c r="E1391" s="569"/>
    </row>
    <row r="1392">
      <c r="D1392" s="569"/>
      <c r="E1392" s="569"/>
    </row>
    <row r="1393">
      <c r="D1393" s="569"/>
      <c r="E1393" s="569"/>
    </row>
    <row r="1394">
      <c r="D1394" s="569"/>
      <c r="E1394" s="569"/>
    </row>
    <row r="1395">
      <c r="D1395" s="569"/>
      <c r="E1395" s="569"/>
    </row>
    <row r="1396">
      <c r="D1396" s="569"/>
      <c r="E1396" s="569"/>
    </row>
    <row r="1397">
      <c r="D1397" s="569"/>
      <c r="E1397" s="569"/>
    </row>
    <row r="1398">
      <c r="D1398" s="569"/>
      <c r="E1398" s="569"/>
    </row>
    <row r="1399">
      <c r="D1399" s="569"/>
      <c r="E1399" s="569"/>
    </row>
    <row r="1400">
      <c r="D1400" s="569"/>
      <c r="E1400" s="569"/>
    </row>
    <row r="1401">
      <c r="D1401" s="569"/>
      <c r="E1401" s="569"/>
    </row>
    <row r="1402">
      <c r="D1402" s="569"/>
      <c r="E1402" s="569"/>
    </row>
    <row r="1403">
      <c r="D1403" s="569"/>
      <c r="E1403" s="569"/>
    </row>
    <row r="1404">
      <c r="D1404" s="569"/>
      <c r="E1404" s="569"/>
    </row>
    <row r="1405">
      <c r="D1405" s="569"/>
      <c r="E1405" s="569"/>
    </row>
    <row r="1406">
      <c r="D1406" s="569"/>
      <c r="E1406" s="569"/>
    </row>
    <row r="1407">
      <c r="D1407" s="569"/>
      <c r="E1407" s="569"/>
    </row>
    <row r="1408">
      <c r="D1408" s="569"/>
      <c r="E1408" s="569"/>
    </row>
    <row r="1409">
      <c r="D1409" s="569"/>
      <c r="E1409" s="569"/>
    </row>
    <row r="1410">
      <c r="D1410" s="569"/>
      <c r="E1410" s="569"/>
    </row>
    <row r="1411">
      <c r="D1411" s="569"/>
      <c r="E1411" s="569"/>
    </row>
    <row r="1412">
      <c r="D1412" s="569"/>
      <c r="E1412" s="569"/>
    </row>
    <row r="1413">
      <c r="D1413" s="569"/>
      <c r="E1413" s="569"/>
    </row>
    <row r="1414">
      <c r="D1414" s="569"/>
      <c r="E1414" s="569"/>
    </row>
    <row r="1415">
      <c r="D1415" s="569"/>
      <c r="E1415" s="569"/>
    </row>
    <row r="1416">
      <c r="D1416" s="569"/>
      <c r="E1416" s="569"/>
    </row>
    <row r="1417">
      <c r="D1417" s="569"/>
      <c r="E1417" s="569"/>
    </row>
    <row r="1418">
      <c r="D1418" s="569"/>
      <c r="E1418" s="569"/>
    </row>
    <row r="1419">
      <c r="D1419" s="569"/>
      <c r="E1419" s="569"/>
    </row>
    <row r="1420">
      <c r="D1420" s="569"/>
      <c r="E1420" s="569"/>
    </row>
    <row r="1421">
      <c r="D1421" s="569"/>
      <c r="E1421" s="569"/>
    </row>
    <row r="1422">
      <c r="D1422" s="569"/>
      <c r="E1422" s="569"/>
    </row>
    <row r="1423">
      <c r="D1423" s="569"/>
      <c r="E1423" s="569"/>
    </row>
    <row r="1424">
      <c r="D1424" s="569"/>
      <c r="E1424" s="569"/>
    </row>
    <row r="1425">
      <c r="D1425" s="569"/>
      <c r="E1425" s="569"/>
    </row>
    <row r="1426">
      <c r="D1426" s="569"/>
      <c r="E1426" s="569"/>
    </row>
    <row r="1427">
      <c r="D1427" s="569"/>
      <c r="E1427" s="569"/>
    </row>
    <row r="1428">
      <c r="D1428" s="569"/>
      <c r="E1428" s="569"/>
    </row>
    <row r="1429">
      <c r="D1429" s="569"/>
      <c r="E1429" s="569"/>
    </row>
    <row r="1430">
      <c r="D1430" s="569"/>
      <c r="E1430" s="569"/>
    </row>
    <row r="1431">
      <c r="D1431" s="569"/>
      <c r="E1431" s="569"/>
    </row>
    <row r="1432">
      <c r="D1432" s="569"/>
      <c r="E1432" s="569"/>
    </row>
    <row r="1433">
      <c r="D1433" s="569"/>
      <c r="E1433" s="569"/>
    </row>
    <row r="1434">
      <c r="D1434" s="569"/>
      <c r="E1434" s="569"/>
    </row>
    <row r="1435">
      <c r="D1435" s="569"/>
      <c r="E1435" s="569"/>
    </row>
    <row r="1436">
      <c r="D1436" s="569"/>
      <c r="E1436" s="569"/>
    </row>
    <row r="1437">
      <c r="D1437" s="569"/>
      <c r="E1437" s="569"/>
    </row>
    <row r="1438">
      <c r="D1438" s="569"/>
      <c r="E1438" s="569"/>
    </row>
    <row r="1439">
      <c r="D1439" s="569"/>
      <c r="E1439" s="569"/>
    </row>
    <row r="1440">
      <c r="D1440" s="569"/>
      <c r="E1440" s="569"/>
    </row>
    <row r="1441">
      <c r="D1441" s="569"/>
      <c r="E1441" s="569"/>
    </row>
    <row r="1442">
      <c r="D1442" s="569"/>
      <c r="E1442" s="569"/>
    </row>
    <row r="1443">
      <c r="D1443" s="569"/>
      <c r="E1443" s="569"/>
    </row>
    <row r="1444">
      <c r="D1444" s="569"/>
      <c r="E1444" s="569"/>
    </row>
    <row r="1445">
      <c r="D1445" s="569"/>
      <c r="E1445" s="569"/>
    </row>
    <row r="1446">
      <c r="D1446" s="569"/>
      <c r="E1446" s="569"/>
    </row>
    <row r="1447">
      <c r="D1447" s="569"/>
      <c r="E1447" s="569"/>
    </row>
    <row r="1448">
      <c r="D1448" s="569"/>
      <c r="E1448" s="569"/>
    </row>
    <row r="1449">
      <c r="D1449" s="569"/>
      <c r="E1449" s="569"/>
    </row>
    <row r="1450">
      <c r="D1450" s="569"/>
      <c r="E1450" s="569"/>
    </row>
    <row r="1451">
      <c r="D1451" s="569"/>
      <c r="E1451" s="569"/>
    </row>
    <row r="1452">
      <c r="D1452" s="569"/>
      <c r="E1452" s="569"/>
    </row>
    <row r="1453">
      <c r="D1453" s="569"/>
      <c r="E1453" s="569"/>
    </row>
    <row r="1454">
      <c r="D1454" s="569"/>
      <c r="E1454" s="569"/>
    </row>
    <row r="1455">
      <c r="D1455" s="569"/>
      <c r="E1455" s="569"/>
    </row>
    <row r="1456">
      <c r="D1456" s="569"/>
      <c r="E1456" s="569"/>
    </row>
    <row r="1457">
      <c r="D1457" s="569"/>
      <c r="E1457" s="569"/>
    </row>
    <row r="1458">
      <c r="D1458" s="569"/>
      <c r="E1458" s="569"/>
    </row>
    <row r="1459">
      <c r="D1459" s="569"/>
      <c r="E1459" s="569"/>
    </row>
    <row r="1460">
      <c r="D1460" s="569"/>
      <c r="E1460" s="569"/>
    </row>
    <row r="1461">
      <c r="D1461" s="569"/>
      <c r="E1461" s="569"/>
    </row>
    <row r="1462">
      <c r="D1462" s="569"/>
      <c r="E1462" s="569"/>
    </row>
    <row r="1463">
      <c r="D1463" s="569"/>
      <c r="E1463" s="569"/>
    </row>
    <row r="1464">
      <c r="D1464" s="569"/>
      <c r="E1464" s="569"/>
    </row>
    <row r="1465">
      <c r="D1465" s="569"/>
      <c r="E1465" s="569"/>
    </row>
    <row r="1466">
      <c r="D1466" s="569"/>
      <c r="E1466" s="569"/>
    </row>
    <row r="1467">
      <c r="D1467" s="569"/>
      <c r="E1467" s="569"/>
    </row>
    <row r="1468">
      <c r="D1468" s="569"/>
      <c r="E1468" s="569"/>
    </row>
    <row r="1469">
      <c r="D1469" s="569"/>
      <c r="E1469" s="569"/>
    </row>
    <row r="1470">
      <c r="D1470" s="569"/>
      <c r="E1470" s="569"/>
    </row>
    <row r="1471">
      <c r="D1471" s="569"/>
      <c r="E1471" s="569"/>
    </row>
    <row r="1472">
      <c r="D1472" s="569"/>
      <c r="E1472" s="569"/>
    </row>
    <row r="1473">
      <c r="D1473" s="569"/>
      <c r="E1473" s="569"/>
    </row>
    <row r="1474">
      <c r="D1474" s="569"/>
      <c r="E1474" s="569"/>
    </row>
    <row r="1475">
      <c r="D1475" s="569"/>
      <c r="E1475" s="569"/>
    </row>
    <row r="1476">
      <c r="D1476" s="569"/>
      <c r="E1476" s="569"/>
    </row>
    <row r="1477">
      <c r="D1477" s="569"/>
      <c r="E1477" s="569"/>
    </row>
    <row r="1478">
      <c r="D1478" s="569"/>
      <c r="E1478" s="569"/>
    </row>
    <row r="1479">
      <c r="D1479" s="569"/>
      <c r="E1479" s="569"/>
    </row>
    <row r="1480">
      <c r="D1480" s="569"/>
      <c r="E1480" s="569"/>
    </row>
    <row r="1481">
      <c r="D1481" s="569"/>
      <c r="E1481" s="569"/>
    </row>
    <row r="1482">
      <c r="D1482" s="569"/>
      <c r="E1482" s="569"/>
    </row>
    <row r="1483">
      <c r="D1483" s="569"/>
      <c r="E1483" s="569"/>
    </row>
    <row r="1484">
      <c r="D1484" s="569"/>
      <c r="E1484" s="569"/>
    </row>
    <row r="1485">
      <c r="D1485" s="569"/>
      <c r="E1485" s="569"/>
    </row>
    <row r="1486">
      <c r="D1486" s="569"/>
      <c r="E1486" s="569"/>
    </row>
    <row r="1487">
      <c r="D1487" s="569"/>
      <c r="E1487" s="569"/>
    </row>
    <row r="1488">
      <c r="D1488" s="569"/>
      <c r="E1488" s="569"/>
    </row>
    <row r="1489">
      <c r="D1489" s="569"/>
      <c r="E1489" s="569"/>
    </row>
    <row r="1490">
      <c r="D1490" s="569"/>
      <c r="E1490" s="569"/>
    </row>
    <row r="1491">
      <c r="D1491" s="569"/>
      <c r="E1491" s="569"/>
    </row>
    <row r="1492">
      <c r="D1492" s="569"/>
      <c r="E1492" s="569"/>
    </row>
    <row r="1493">
      <c r="D1493" s="569"/>
      <c r="E1493" s="569"/>
    </row>
    <row r="1494">
      <c r="D1494" s="569"/>
      <c r="E1494" s="569"/>
    </row>
    <row r="1495">
      <c r="D1495" s="569"/>
      <c r="E1495" s="569"/>
    </row>
    <row r="1496">
      <c r="D1496" s="569"/>
      <c r="E1496" s="569"/>
    </row>
    <row r="1497">
      <c r="D1497" s="569"/>
      <c r="E1497" s="569"/>
    </row>
    <row r="1498">
      <c r="D1498" s="569"/>
      <c r="E1498" s="569"/>
    </row>
    <row r="1499">
      <c r="D1499" s="569"/>
      <c r="E1499" s="569"/>
    </row>
    <row r="1500">
      <c r="D1500" s="569"/>
      <c r="E1500" s="569"/>
    </row>
    <row r="1501">
      <c r="D1501" s="569"/>
      <c r="E1501" s="569"/>
    </row>
    <row r="1502">
      <c r="D1502" s="569"/>
      <c r="E1502" s="569"/>
    </row>
    <row r="1503">
      <c r="D1503" s="569"/>
      <c r="E1503" s="569"/>
    </row>
    <row r="1504">
      <c r="D1504" s="569"/>
      <c r="E1504" s="569"/>
    </row>
    <row r="1505">
      <c r="D1505" s="569"/>
      <c r="E1505" s="569"/>
    </row>
    <row r="1506">
      <c r="D1506" s="569"/>
      <c r="E1506" s="569"/>
    </row>
    <row r="1507">
      <c r="D1507" s="569"/>
      <c r="E1507" s="569"/>
    </row>
    <row r="1508">
      <c r="D1508" s="569"/>
      <c r="E1508" s="569"/>
    </row>
    <row r="1509">
      <c r="D1509" s="569"/>
      <c r="E1509" s="569"/>
    </row>
    <row r="1510">
      <c r="D1510" s="569"/>
      <c r="E1510" s="569"/>
    </row>
    <row r="1511">
      <c r="D1511" s="569"/>
      <c r="E1511" s="569"/>
    </row>
    <row r="1512">
      <c r="D1512" s="569"/>
      <c r="E1512" s="569"/>
    </row>
    <row r="1513">
      <c r="D1513" s="569"/>
      <c r="E1513" s="56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0"/>
    <col customWidth="1" min="2" max="2" width="17.63"/>
    <col customWidth="1" min="3" max="3" width="20.25"/>
  </cols>
  <sheetData>
    <row r="1">
      <c r="A1" s="532" t="s">
        <v>2069</v>
      </c>
      <c r="B1" s="132"/>
      <c r="C1" s="132"/>
      <c r="D1" s="133"/>
    </row>
    <row r="2">
      <c r="A2" s="533" t="s">
        <v>1958</v>
      </c>
      <c r="C2" s="587">
        <v>2.0E7</v>
      </c>
      <c r="D2" s="536"/>
    </row>
    <row r="3">
      <c r="A3" s="539" t="s">
        <v>2073</v>
      </c>
      <c r="C3" s="540">
        <v>5000000.0</v>
      </c>
      <c r="D3" s="536"/>
    </row>
    <row r="4">
      <c r="C4" s="571">
        <f>C2-C3</f>
        <v>15000000</v>
      </c>
      <c r="D4" s="536"/>
    </row>
    <row r="5">
      <c r="A5" s="543" t="s">
        <v>1984</v>
      </c>
      <c r="B5" s="600">
        <v>0.05</v>
      </c>
      <c r="C5" s="571">
        <f>C4*B5</f>
        <v>750000</v>
      </c>
      <c r="D5" s="536"/>
    </row>
    <row r="6">
      <c r="A6" s="546" t="s">
        <v>1993</v>
      </c>
      <c r="B6" s="69">
        <f>50000000/580000000</f>
        <v>0.08620689655</v>
      </c>
      <c r="C6" s="547">
        <f>C4-C5</f>
        <v>14250000</v>
      </c>
      <c r="D6" s="607">
        <f>C4</f>
        <v>15000000</v>
      </c>
      <c r="E6" s="69" t="s">
        <v>2079</v>
      </c>
    </row>
    <row r="7">
      <c r="A7" s="358"/>
      <c r="C7" s="608">
        <f>B6*C6</f>
        <v>1228448.276</v>
      </c>
      <c r="D7" s="609">
        <f>B6*D6</f>
        <v>1293103.448</v>
      </c>
      <c r="E7" s="213"/>
    </row>
    <row r="8">
      <c r="A8" s="546" t="s">
        <v>2082</v>
      </c>
      <c r="B8" s="69">
        <f>75000000/580000000</f>
        <v>0.1293103448</v>
      </c>
      <c r="C8" s="547">
        <f>C4-C5</f>
        <v>14250000</v>
      </c>
      <c r="D8" s="607">
        <v>1.5E7</v>
      </c>
    </row>
    <row r="9">
      <c r="A9" s="358"/>
      <c r="C9" s="608">
        <f>B8*C8</f>
        <v>1842672.414</v>
      </c>
      <c r="D9" s="609">
        <f>B8*D8</f>
        <v>1939655.172</v>
      </c>
    </row>
    <row r="10">
      <c r="A10" s="546" t="s">
        <v>2083</v>
      </c>
      <c r="B10" s="69">
        <f>4000000/580000000</f>
        <v>0.006896551724</v>
      </c>
      <c r="C10" s="547">
        <f>C4-C5</f>
        <v>14250000</v>
      </c>
      <c r="D10" s="607">
        <v>1.5E7</v>
      </c>
    </row>
    <row r="11">
      <c r="A11" s="356"/>
      <c r="B11" s="69"/>
      <c r="C11" s="608">
        <f>B10*C10</f>
        <v>98275.86207</v>
      </c>
      <c r="D11" s="609">
        <f>B10*D10</f>
        <v>103448.2759</v>
      </c>
    </row>
    <row r="12">
      <c r="A12" s="557" t="s">
        <v>2086</v>
      </c>
      <c r="B12" s="558"/>
      <c r="C12" s="560">
        <f t="shared" ref="C12:D12" si="1">C6-(2*C7)-C11</f>
        <v>11694827.59</v>
      </c>
      <c r="D12" s="612">
        <f t="shared" si="1"/>
        <v>12310344.83</v>
      </c>
    </row>
    <row r="14">
      <c r="A14" s="532" t="s">
        <v>1951</v>
      </c>
      <c r="B14" s="132"/>
      <c r="C14" s="132"/>
      <c r="D14" s="133"/>
    </row>
    <row r="15">
      <c r="A15" s="533" t="s">
        <v>1958</v>
      </c>
      <c r="C15" s="587">
        <v>2.560061151E7</v>
      </c>
      <c r="D15" s="536"/>
    </row>
    <row r="16">
      <c r="A16" s="539" t="s">
        <v>1975</v>
      </c>
      <c r="C16" s="540">
        <v>8496400.0</v>
      </c>
      <c r="D16" s="536"/>
    </row>
    <row r="17">
      <c r="A17" s="543" t="s">
        <v>1984</v>
      </c>
      <c r="C17" s="544">
        <v>500000.0</v>
      </c>
      <c r="D17" s="536"/>
    </row>
    <row r="18">
      <c r="A18" s="546" t="s">
        <v>1993</v>
      </c>
      <c r="B18" s="69">
        <f>50000000/580000000</f>
        <v>0.08620689655</v>
      </c>
      <c r="C18" s="547">
        <f>SUM(C15-C16-C17)</f>
        <v>16604211.51</v>
      </c>
      <c r="D18" s="548" t="s">
        <v>1997</v>
      </c>
    </row>
    <row r="19">
      <c r="A19" s="358"/>
      <c r="C19" s="549">
        <f>C18*B18</f>
        <v>1431397.544</v>
      </c>
      <c r="D19" s="536"/>
    </row>
    <row r="20">
      <c r="A20" s="546" t="s">
        <v>2005</v>
      </c>
      <c r="B20" s="69">
        <f>50000000/600000000</f>
        <v>0.08333333333</v>
      </c>
      <c r="C20" s="547">
        <f>C15-C16-C17</f>
        <v>16604211.51</v>
      </c>
      <c r="D20" s="536"/>
    </row>
    <row r="21">
      <c r="A21" s="358"/>
      <c r="C21" s="549">
        <f>C20*B20</f>
        <v>1383684.293</v>
      </c>
      <c r="D21" s="536"/>
    </row>
    <row r="22">
      <c r="A22" s="555" t="s">
        <v>2024</v>
      </c>
      <c r="C22" s="556">
        <f>C18-(2*C19)</f>
        <v>13741416.42</v>
      </c>
      <c r="D22" s="536"/>
    </row>
    <row r="23">
      <c r="A23" s="557" t="s">
        <v>2035</v>
      </c>
      <c r="B23" s="558"/>
      <c r="C23" s="560">
        <f>C20-(2*C21)</f>
        <v>13836842.93</v>
      </c>
      <c r="D23" s="561"/>
    </row>
    <row r="26">
      <c r="A26" s="532" t="s">
        <v>2088</v>
      </c>
      <c r="B26" s="132"/>
      <c r="C26" s="133"/>
      <c r="D26" s="564"/>
    </row>
    <row r="27">
      <c r="A27" s="293" t="s">
        <v>1958</v>
      </c>
      <c r="B27" s="92"/>
      <c r="C27" s="623">
        <v>2.335881641E7</v>
      </c>
    </row>
    <row r="28">
      <c r="A28" s="496" t="s">
        <v>2091</v>
      </c>
      <c r="B28" s="92"/>
      <c r="C28" s="550">
        <v>7429052.0</v>
      </c>
      <c r="D28" s="614"/>
      <c r="E28" s="69"/>
    </row>
    <row r="29">
      <c r="A29" s="208"/>
      <c r="B29" s="92"/>
      <c r="C29" s="615">
        <f>C27-C28</f>
        <v>15929764.41</v>
      </c>
      <c r="D29" s="213"/>
    </row>
    <row r="30">
      <c r="A30" s="237" t="s">
        <v>1984</v>
      </c>
      <c r="B30" s="616">
        <v>0.05</v>
      </c>
      <c r="C30" s="233">
        <f>C29*B30</f>
        <v>796488.2205</v>
      </c>
      <c r="D30" s="529"/>
    </row>
    <row r="31">
      <c r="A31" s="617" t="s">
        <v>2097</v>
      </c>
      <c r="B31" s="208">
        <f>50000000/580000000</f>
        <v>0.08620689655</v>
      </c>
      <c r="C31" s="618">
        <f>C29-C30</f>
        <v>15133276.19</v>
      </c>
      <c r="D31" s="213"/>
    </row>
    <row r="32">
      <c r="A32" s="92"/>
      <c r="B32" s="92"/>
      <c r="C32" s="619">
        <f>C31*B31</f>
        <v>1304592.775</v>
      </c>
      <c r="D32" s="529"/>
    </row>
    <row r="33">
      <c r="A33" s="617" t="s">
        <v>2101</v>
      </c>
      <c r="B33" s="208">
        <f>75000000/580000000</f>
        <v>0.1293103448</v>
      </c>
      <c r="C33" s="618">
        <f>C29-C30</f>
        <v>15133276.19</v>
      </c>
      <c r="D33" s="213"/>
    </row>
    <row r="34">
      <c r="A34" s="92"/>
      <c r="B34" s="92"/>
      <c r="C34" s="619">
        <f>C33*B33</f>
        <v>1956889.162</v>
      </c>
      <c r="D34" s="529"/>
    </row>
    <row r="35">
      <c r="A35" s="532" t="s">
        <v>2103</v>
      </c>
      <c r="B35" s="132"/>
      <c r="C35" s="133"/>
      <c r="D35" s="564"/>
    </row>
    <row r="36">
      <c r="A36" s="293" t="s">
        <v>2105</v>
      </c>
      <c r="B36" s="92"/>
      <c r="C36" s="350">
        <v>3817323.27</v>
      </c>
    </row>
    <row r="37">
      <c r="A37" s="496" t="s">
        <v>2107</v>
      </c>
      <c r="B37" s="92"/>
      <c r="C37" s="525">
        <v>680000.0</v>
      </c>
    </row>
    <row r="38">
      <c r="A38" s="208"/>
      <c r="B38" s="92"/>
      <c r="C38" s="615">
        <f>C36-C37</f>
        <v>3137323.27</v>
      </c>
    </row>
    <row r="39">
      <c r="A39" s="237" t="s">
        <v>1984</v>
      </c>
      <c r="B39" s="616">
        <v>0.05</v>
      </c>
      <c r="C39" s="233">
        <f>C38*B39</f>
        <v>156866.1635</v>
      </c>
    </row>
    <row r="40">
      <c r="A40" s="617" t="s">
        <v>2110</v>
      </c>
      <c r="B40" s="208">
        <f>4000000/580000000</f>
        <v>0.006896551724</v>
      </c>
      <c r="C40" s="618">
        <f>C38-C39</f>
        <v>2980457.107</v>
      </c>
    </row>
    <row r="41">
      <c r="A41" s="92"/>
      <c r="B41" s="92"/>
      <c r="C41" s="619">
        <f>B40*C40</f>
        <v>20554.8766</v>
      </c>
    </row>
    <row r="42">
      <c r="A42" s="620" t="s">
        <v>2086</v>
      </c>
      <c r="B42" s="92"/>
      <c r="C42" s="545">
        <f>C31-C32-C34-C41</f>
        <v>11851239.38</v>
      </c>
      <c r="D42" s="213"/>
    </row>
    <row r="43">
      <c r="A43" s="237" t="s">
        <v>2112</v>
      </c>
      <c r="B43" s="92"/>
      <c r="C43" s="615">
        <f>C42+C30</f>
        <v>12647727.6</v>
      </c>
    </row>
    <row r="44">
      <c r="A44" s="208" t="s">
        <v>2113</v>
      </c>
      <c r="B44" s="92"/>
      <c r="C44" s="525">
        <f>C30+C32+C34+C41+C42</f>
        <v>15929764.41</v>
      </c>
    </row>
    <row r="46">
      <c r="A46" s="532" t="s">
        <v>2114</v>
      </c>
      <c r="B46" s="132"/>
      <c r="C46" s="133"/>
      <c r="D46" s="564"/>
    </row>
    <row r="47">
      <c r="A47" s="293" t="s">
        <v>1958</v>
      </c>
      <c r="B47" s="92"/>
      <c r="C47" s="623">
        <v>2.335881641E7</v>
      </c>
    </row>
    <row r="48">
      <c r="A48" s="496" t="s">
        <v>2091</v>
      </c>
      <c r="B48" s="92"/>
      <c r="C48" s="550">
        <v>7551152.0</v>
      </c>
      <c r="D48" s="614"/>
    </row>
    <row r="49">
      <c r="A49" s="208"/>
      <c r="B49" s="92"/>
      <c r="C49" s="615">
        <f>C47-C48</f>
        <v>15807664.41</v>
      </c>
      <c r="D49" s="213"/>
    </row>
    <row r="50">
      <c r="A50" s="237" t="s">
        <v>1984</v>
      </c>
      <c r="B50" s="616">
        <v>0.05</v>
      </c>
      <c r="C50" s="233">
        <f>C49*B50</f>
        <v>790383.2205</v>
      </c>
      <c r="D50" s="529"/>
    </row>
    <row r="51">
      <c r="A51" s="617" t="s">
        <v>2097</v>
      </c>
      <c r="B51" s="208">
        <f>50000000/580000000</f>
        <v>0.08620689655</v>
      </c>
      <c r="C51" s="618">
        <f>C49-C50</f>
        <v>15017281.19</v>
      </c>
      <c r="D51" s="213"/>
    </row>
    <row r="52">
      <c r="A52" s="92"/>
      <c r="B52" s="92"/>
      <c r="C52" s="619">
        <f>C51*B51</f>
        <v>1294593.206</v>
      </c>
      <c r="D52" s="529"/>
    </row>
    <row r="53">
      <c r="A53" s="617" t="s">
        <v>2101</v>
      </c>
      <c r="B53" s="208">
        <f>75000000/580000000</f>
        <v>0.1293103448</v>
      </c>
      <c r="C53" s="618">
        <f>C49-C50</f>
        <v>15017281.19</v>
      </c>
      <c r="D53" s="213"/>
    </row>
    <row r="54">
      <c r="A54" s="92"/>
      <c r="B54" s="92"/>
      <c r="C54" s="619">
        <f>C53*B53</f>
        <v>1941889.809</v>
      </c>
      <c r="D54" s="529"/>
    </row>
    <row r="55">
      <c r="A55" s="532" t="s">
        <v>2103</v>
      </c>
      <c r="B55" s="132"/>
      <c r="C55" s="133"/>
      <c r="D55" s="564"/>
    </row>
    <row r="56">
      <c r="A56" s="293" t="s">
        <v>2105</v>
      </c>
      <c r="B56" s="92"/>
      <c r="C56" s="350">
        <v>3817323.27</v>
      </c>
    </row>
    <row r="57">
      <c r="A57" s="496" t="s">
        <v>2107</v>
      </c>
      <c r="B57" s="92"/>
      <c r="C57" s="525">
        <v>680000.0</v>
      </c>
    </row>
    <row r="58">
      <c r="A58" s="208"/>
      <c r="B58" s="92"/>
      <c r="C58" s="615">
        <f>C56-C57</f>
        <v>3137323.27</v>
      </c>
    </row>
    <row r="59">
      <c r="A59" s="237" t="s">
        <v>1984</v>
      </c>
      <c r="B59" s="616">
        <v>0.05</v>
      </c>
      <c r="C59" s="233">
        <f>C58*B59</f>
        <v>156866.1635</v>
      </c>
    </row>
    <row r="60">
      <c r="A60" s="617" t="s">
        <v>2110</v>
      </c>
      <c r="B60" s="208">
        <f>4000000/580000000</f>
        <v>0.006896551724</v>
      </c>
      <c r="C60" s="618">
        <f>C58-C59</f>
        <v>2980457.107</v>
      </c>
    </row>
    <row r="61">
      <c r="A61" s="92"/>
      <c r="B61" s="92"/>
      <c r="C61" s="619">
        <f>B60*C60</f>
        <v>20554.8766</v>
      </c>
    </row>
    <row r="62">
      <c r="A62" s="620" t="s">
        <v>2086</v>
      </c>
      <c r="B62" s="92"/>
      <c r="C62" s="545">
        <f>C51-C52-C54-C61</f>
        <v>11760243.3</v>
      </c>
      <c r="D62" s="213"/>
    </row>
    <row r="63">
      <c r="A63" s="237" t="s">
        <v>2112</v>
      </c>
      <c r="B63" s="92"/>
      <c r="C63" s="615">
        <f>C62+C50</f>
        <v>12550626.52</v>
      </c>
    </row>
    <row r="64">
      <c r="A64" s="208" t="s">
        <v>2113</v>
      </c>
      <c r="B64" s="92"/>
      <c r="C64" s="525">
        <f>C50+C52+C54+C61+C62</f>
        <v>15807664.41</v>
      </c>
    </row>
  </sheetData>
  <mergeCells count="6">
    <mergeCell ref="A1:D1"/>
    <mergeCell ref="A14:D14"/>
    <mergeCell ref="A26:C26"/>
    <mergeCell ref="A35:C35"/>
    <mergeCell ref="A46:C46"/>
    <mergeCell ref="A55:C5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2025-02-21T23:27:16Z</dcterms:created>
  <dc:creator>meirmawan2312@gmail.com</dc:creator>
</cp:coreProperties>
</file>